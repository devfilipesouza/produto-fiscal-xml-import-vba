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Suporte\Desktop\"/>
    </mc:Choice>
  </mc:AlternateContent>
  <xr:revisionPtr revIDLastSave="0" documentId="8_{1AFA8AD8-DB15-45DF-89B6-6D93DD8494D2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CPV" sheetId="6" r:id="rId1"/>
    <sheet name="CALCULADORA MANUAL (SIMULAÇÕES)" sheetId="1" r:id="rId2"/>
    <sheet name="NCM+MVA" sheetId="4" r:id="rId3"/>
  </sheets>
  <definedNames>
    <definedName name="_xlnm._FilterDatabase" localSheetId="2" hidden="1">'NCM+MVA'!$C$10:$E$10</definedName>
    <definedName name="_xleta.IF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6" roundtripDataChecksum="/MGnkUFR2TA9TWansziUgUbjUPixI1+0GnX5aOYg64A="/>
    </ext>
  </extLst>
</workbook>
</file>

<file path=xl/calcChain.xml><?xml version="1.0" encoding="utf-8"?>
<calcChain xmlns="http://schemas.openxmlformats.org/spreadsheetml/2006/main">
  <c r="B13" i="6" l="1"/>
  <c r="B34" i="6"/>
  <c r="D27" i="6" l="1"/>
  <c r="L19" i="6" s="1"/>
  <c r="D34" i="6"/>
  <c r="L51" i="6" l="1"/>
  <c r="L47" i="6"/>
  <c r="L43" i="6"/>
  <c r="L39" i="6"/>
  <c r="L35" i="6"/>
  <c r="L31" i="6"/>
  <c r="L27" i="6"/>
  <c r="L23" i="6"/>
  <c r="L50" i="6"/>
  <c r="L46" i="6"/>
  <c r="L42" i="6"/>
  <c r="L38" i="6"/>
  <c r="L34" i="6"/>
  <c r="L30" i="6"/>
  <c r="L26" i="6"/>
  <c r="L22" i="6"/>
  <c r="L49" i="6"/>
  <c r="L45" i="6"/>
  <c r="L41" i="6"/>
  <c r="L37" i="6"/>
  <c r="L29" i="6"/>
  <c r="L25" i="6"/>
  <c r="L21" i="6"/>
  <c r="L48" i="6"/>
  <c r="L44" i="6"/>
  <c r="L40" i="6"/>
  <c r="L36" i="6"/>
  <c r="L32" i="6"/>
  <c r="L28" i="6"/>
  <c r="L24" i="6"/>
  <c r="L20" i="6"/>
  <c r="L33" i="6"/>
  <c r="D20" i="6"/>
  <c r="H15" i="1"/>
  <c r="C14" i="1" s="1"/>
  <c r="D14" i="1" s="1"/>
  <c r="G37" i="1"/>
  <c r="E4" i="4"/>
  <c r="E3" i="4"/>
  <c r="M22" i="6" l="1"/>
  <c r="Q22" i="6" s="1"/>
  <c r="M26" i="6"/>
  <c r="Q26" i="6" s="1"/>
  <c r="M30" i="6"/>
  <c r="Q30" i="6" s="1"/>
  <c r="M34" i="6"/>
  <c r="Q34" i="6" s="1"/>
  <c r="M38" i="6"/>
  <c r="Q38" i="6" s="1"/>
  <c r="M42" i="6"/>
  <c r="Q42" i="6" s="1"/>
  <c r="M46" i="6"/>
  <c r="Q46" i="6" s="1"/>
  <c r="M50" i="6"/>
  <c r="Q50" i="6" s="1"/>
  <c r="M19" i="6"/>
  <c r="M23" i="6"/>
  <c r="Q23" i="6" s="1"/>
  <c r="M27" i="6"/>
  <c r="Q27" i="6" s="1"/>
  <c r="M31" i="6"/>
  <c r="Q31" i="6" s="1"/>
  <c r="M35" i="6"/>
  <c r="Q35" i="6" s="1"/>
  <c r="M39" i="6"/>
  <c r="Q39" i="6" s="1"/>
  <c r="M43" i="6"/>
  <c r="Q43" i="6" s="1"/>
  <c r="M47" i="6"/>
  <c r="Q47" i="6" s="1"/>
  <c r="M51" i="6"/>
  <c r="Q51" i="6" s="1"/>
  <c r="M20" i="6"/>
  <c r="Q20" i="6" s="1"/>
  <c r="M24" i="6"/>
  <c r="Q24" i="6" s="1"/>
  <c r="M28" i="6"/>
  <c r="Q28" i="6" s="1"/>
  <c r="M32" i="6"/>
  <c r="Q32" i="6" s="1"/>
  <c r="M36" i="6"/>
  <c r="Q36" i="6" s="1"/>
  <c r="M40" i="6"/>
  <c r="Q40" i="6" s="1"/>
  <c r="M44" i="6"/>
  <c r="Q44" i="6" s="1"/>
  <c r="M48" i="6"/>
  <c r="Q48" i="6" s="1"/>
  <c r="M21" i="6"/>
  <c r="Q21" i="6" s="1"/>
  <c r="M25" i="6"/>
  <c r="Q25" i="6" s="1"/>
  <c r="M29" i="6"/>
  <c r="Q29" i="6" s="1"/>
  <c r="M33" i="6"/>
  <c r="Q33" i="6" s="1"/>
  <c r="M37" i="6"/>
  <c r="Q37" i="6" s="1"/>
  <c r="M41" i="6"/>
  <c r="Q41" i="6" s="1"/>
  <c r="M45" i="6"/>
  <c r="Q45" i="6" s="1"/>
  <c r="M49" i="6"/>
  <c r="Q49" i="6" s="1"/>
  <c r="H31" i="1"/>
  <c r="H34" i="1"/>
  <c r="H36" i="1"/>
  <c r="H35" i="1"/>
  <c r="H33" i="1"/>
  <c r="C36" i="1"/>
  <c r="C37" i="1" s="1"/>
  <c r="T30" i="1"/>
  <c r="D28" i="1"/>
  <c r="T27" i="1"/>
  <c r="R28" i="1" s="1"/>
  <c r="P27" i="1"/>
  <c r="H23" i="1"/>
  <c r="C15" i="1" s="1"/>
  <c r="P21" i="1"/>
  <c r="P22" i="1" s="1"/>
  <c r="P23" i="1" s="1"/>
  <c r="P24" i="1" s="1"/>
  <c r="P25" i="1" s="1"/>
  <c r="P26" i="1" s="1"/>
  <c r="B21" i="1"/>
  <c r="T19" i="1"/>
  <c r="T20" i="1" s="1"/>
  <c r="T15" i="1"/>
  <c r="T16" i="1" s="1"/>
  <c r="P15" i="1"/>
  <c r="P45" i="6" l="1"/>
  <c r="P44" i="6"/>
  <c r="P47" i="6"/>
  <c r="P50" i="6"/>
  <c r="P41" i="6"/>
  <c r="P40" i="6"/>
  <c r="P43" i="6"/>
  <c r="P27" i="6"/>
  <c r="P30" i="6"/>
  <c r="P37" i="6"/>
  <c r="P21" i="6"/>
  <c r="P36" i="6"/>
  <c r="P20" i="6"/>
  <c r="P39" i="6"/>
  <c r="P23" i="6"/>
  <c r="P42" i="6"/>
  <c r="P26" i="6"/>
  <c r="P29" i="6"/>
  <c r="P28" i="6"/>
  <c r="P31" i="6"/>
  <c r="P34" i="6"/>
  <c r="P25" i="6"/>
  <c r="P24" i="6"/>
  <c r="P46" i="6"/>
  <c r="P49" i="6"/>
  <c r="P33" i="6"/>
  <c r="P48" i="6"/>
  <c r="P32" i="6"/>
  <c r="P51" i="6"/>
  <c r="P35" i="6"/>
  <c r="P19" i="6"/>
  <c r="Q19" i="6"/>
  <c r="P38" i="6"/>
  <c r="P22" i="6"/>
  <c r="H39" i="1"/>
  <c r="H40" i="1" s="1"/>
  <c r="C35" i="1"/>
  <c r="P28" i="1"/>
  <c r="H37" i="1"/>
  <c r="C19" i="1"/>
  <c r="R16" i="1"/>
  <c r="R20" i="1"/>
  <c r="D15" i="1" l="1"/>
  <c r="D16" i="1" s="1"/>
  <c r="D17" i="1" s="1"/>
  <c r="D18" i="1" s="1"/>
  <c r="D19" i="1" l="1"/>
  <c r="D20" i="1"/>
  <c r="D25" i="1" s="1"/>
  <c r="D29" i="1" l="1"/>
  <c r="D33" i="1" s="1"/>
  <c r="D36" i="1" s="1"/>
  <c r="D35" i="1" s="1"/>
  <c r="D39" i="1" l="1"/>
  <c r="L21" i="1" s="1"/>
  <c r="L22" i="1" s="1"/>
  <c r="L23" i="1" s="1"/>
  <c r="L24" i="1" s="1"/>
  <c r="L25" i="1" s="1"/>
  <c r="L26" i="1" s="1"/>
  <c r="K15" i="1"/>
  <c r="D37" i="1"/>
  <c r="J15" i="1"/>
  <c r="L27" i="1"/>
  <c r="H41" i="1"/>
  <c r="L28" i="1" l="1"/>
  <c r="L29" i="1" s="1"/>
  <c r="J32" i="1" s="1"/>
  <c r="L15" i="1"/>
  <c r="J30" i="1" l="1"/>
  <c r="J31" i="1"/>
</calcChain>
</file>

<file path=xl/sharedStrings.xml><?xml version="1.0" encoding="utf-8"?>
<sst xmlns="http://schemas.openxmlformats.org/spreadsheetml/2006/main" count="496" uniqueCount="102">
  <si>
    <t>CÁLCULO DE % IMPOSTOS</t>
  </si>
  <si>
    <t>CALCULADORA % ICMS ST ANTECIPADO (NF)</t>
  </si>
  <si>
    <t>CÁLCULO VALOR LUCRO BRUTO</t>
  </si>
  <si>
    <t>CALCULADORA P/ VALOR LUCRO BRUTO</t>
  </si>
  <si>
    <t>CALCULADORA % AUMENTO/REDUÇÃO</t>
  </si>
  <si>
    <t>VALOR UNITÁRIO</t>
  </si>
  <si>
    <t>% ST</t>
  </si>
  <si>
    <t>R$ LB</t>
  </si>
  <si>
    <t>% AUMENTO</t>
  </si>
  <si>
    <t>% ICMS ST</t>
  </si>
  <si>
    <t>R$ BASE C. ANTECIP.</t>
  </si>
  <si>
    <t>R$ ST</t>
  </si>
  <si>
    <t>%ST</t>
  </si>
  <si>
    <t>TOTAL CUSTO</t>
  </si>
  <si>
    <t>R$ VENDA M</t>
  </si>
  <si>
    <t>LUCRO BRUTO</t>
  </si>
  <si>
    <t>R$ VENDA</t>
  </si>
  <si>
    <t>R$  ANTERIOR</t>
  </si>
  <si>
    <t>% AUM</t>
  </si>
  <si>
    <t>R$ GERADO</t>
  </si>
  <si>
    <t>%C. TRIBUTÁRIA</t>
  </si>
  <si>
    <t>%ICMS</t>
  </si>
  <si>
    <t>DIF</t>
  </si>
  <si>
    <t>%IPI</t>
  </si>
  <si>
    <t>% REDUÇÃO</t>
  </si>
  <si>
    <t>OUTROS POR %</t>
  </si>
  <si>
    <t xml:space="preserve"> CALCULADORA % CORREÇÃO ICMS ST (FRONTEIRA FISCO)</t>
  </si>
  <si>
    <t>CALCULADORA P/ VALOR LUCRO LÍQUIDO</t>
  </si>
  <si>
    <t>% RED</t>
  </si>
  <si>
    <t>Tributos aprox. ~</t>
  </si>
  <si>
    <t>Total Compra + Impostos</t>
  </si>
  <si>
    <t>DIF R$</t>
  </si>
  <si>
    <t>Prç. Venda A</t>
  </si>
  <si>
    <t>R$ B.C. FRONTEIRA</t>
  </si>
  <si>
    <t>CORREÇÃO DE VALOR</t>
  </si>
  <si>
    <t>%CT</t>
  </si>
  <si>
    <t>% DESCONTO</t>
  </si>
  <si>
    <t>% CARTÃO</t>
  </si>
  <si>
    <t>DIFERENCIAL ANTERIOR X GERADO</t>
  </si>
  <si>
    <t>% COMISÕES</t>
  </si>
  <si>
    <t>OUTROS POR R$</t>
  </si>
  <si>
    <t>% DIF IMPOSTO</t>
  </si>
  <si>
    <t>VALOR FRETE</t>
  </si>
  <si>
    <t>SIMULAÇÃO DE LUCRO LIQ.</t>
  </si>
  <si>
    <t>% OUTROS</t>
  </si>
  <si>
    <t>%DIF</t>
  </si>
  <si>
    <t>QUANT. ITENS</t>
  </si>
  <si>
    <t>Total Custo</t>
  </si>
  <si>
    <t>R$ FRETE POR ITEM</t>
  </si>
  <si>
    <t>Total Lucro Líquido A</t>
  </si>
  <si>
    <t>T. Compra + Imp. + Custos</t>
  </si>
  <si>
    <t>Prç. Venda</t>
  </si>
  <si>
    <t>DIF R$ ANTERIOR/GERADO</t>
  </si>
  <si>
    <t xml:space="preserve"> CÁLCULO PREÇO VENDA</t>
  </si>
  <si>
    <t>% LUCRO MÉDIO</t>
  </si>
  <si>
    <t>Prç. Venda C</t>
  </si>
  <si>
    <t>Prç. Venda M</t>
  </si>
  <si>
    <t>Total Lucro Líquido</t>
  </si>
  <si>
    <t>% Lucro Líquido</t>
  </si>
  <si>
    <t>PREÇO SUGERIDO</t>
  </si>
  <si>
    <t>DESCRIÇÃO</t>
  </si>
  <si>
    <t>NCM</t>
  </si>
  <si>
    <t>CALCULADORA DE CUSTOS PARA VENDA E INFORMAÇÕES FISCAIS - CVINF</t>
  </si>
  <si>
    <t>FRETE</t>
  </si>
  <si>
    <t>SEGURO</t>
  </si>
  <si>
    <t>BASE ICMS ST</t>
  </si>
  <si>
    <t>MVA</t>
  </si>
  <si>
    <t>R$ ICMS ST</t>
  </si>
  <si>
    <t>%ICMS ST</t>
  </si>
  <si>
    <t>SIMULAÇÃO DE % ST</t>
  </si>
  <si>
    <t>% ICMS ORIGEM</t>
  </si>
  <si>
    <t>OUTRAS DESPESAS</t>
  </si>
  <si>
    <t>%ICMS INTERNA PE</t>
  </si>
  <si>
    <t>?</t>
  </si>
  <si>
    <t>TABELA NCM CONCATENADA POR NCM</t>
  </si>
  <si>
    <t>CALCULADORA PREÇO DE VENDA E INFORMAÇÕES FISCAIS - CPVINF</t>
  </si>
  <si>
    <t>R$ BC. ANT.</t>
  </si>
  <si>
    <t>R$ BC. REAL</t>
  </si>
  <si>
    <t>DIGITE A CHAVE DA NOTA FISCAL</t>
  </si>
  <si>
    <t>NOTA FISCAL</t>
  </si>
  <si>
    <t>SÉRIE</t>
  </si>
  <si>
    <t>VALOR PROD.</t>
  </si>
  <si>
    <t>PRODUTOS</t>
  </si>
  <si>
    <t>TOTAL DA NF</t>
  </si>
  <si>
    <t>IPI</t>
  </si>
  <si>
    <t>PIS</t>
  </si>
  <si>
    <t>COFINS</t>
  </si>
  <si>
    <t>ICMS ST</t>
  </si>
  <si>
    <t>ICMS</t>
  </si>
  <si>
    <t xml:space="preserve">QUANT. </t>
  </si>
  <si>
    <t>VALOR ITEM</t>
  </si>
  <si>
    <t>CALCULADORA DE FRETE POR ITEM</t>
  </si>
  <si>
    <t xml:space="preserve">OUTRAS DESPESAS </t>
  </si>
  <si>
    <t>CALCULADORA % ICMS ST CORREÇÃO (FISCO)</t>
  </si>
  <si>
    <t>CALCULADORA % ICMS ST (NOTA FISCAL)</t>
  </si>
  <si>
    <t>PRÇ COMPRA</t>
  </si>
  <si>
    <t>ICMS CT</t>
  </si>
  <si>
    <t>VENDA A</t>
  </si>
  <si>
    <t>VENDA B</t>
  </si>
  <si>
    <t>ENDEREÇO</t>
  </si>
  <si>
    <t>TELEFONE</t>
  </si>
  <si>
    <t>CNPJ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</si>
</sst>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#,##0.0000&quot; &quot;;[Red]#,##0.0000&quot; &quot;"/>
    <numFmt numFmtId="165" formatCode="#,##0.00&quot; &quot;"/>
    <numFmt numFmtId="166" formatCode="0.000%"/>
    <numFmt numFmtId="167" formatCode="[$R$-416]&quot; &quot;#,##0.00"/>
    <numFmt numFmtId="168" formatCode="[$R$-416]&quot; &quot;#,##0.00;[Red][$R$-416]&quot; &quot;#,##0.00"/>
    <numFmt numFmtId="169" formatCode="[$R$-416]&quot; &quot;#,##0.00;\-[$R$-416]&quot; &quot;#,##0.00"/>
    <numFmt numFmtId="170" formatCode="#,##0.000&quot; &quot;"/>
    <numFmt numFmtId="171" formatCode="[$R$-416]&quot; &quot;#,##0.00;[Red]\-[$R$-416]&quot; &quot;#,##0.00"/>
    <numFmt numFmtId="172" formatCode="_-[$R$-416]&quot; &quot;* #,##0.00_-;\-[$R$-416]&quot; &quot;* #,##0.00_-;_-[$R$-416]&quot; &quot;* &quot;-&quot;??_-;_-@"/>
    <numFmt numFmtId="173" formatCode="&quot; &quot;000&quot;.&quot;000&quot;.&quot;000&quot;&quot;"/>
  </numFmts>
  <fonts count="21" x14ac:knownFonts="1">
    <font>
      <sz val="11"/>
      <color theme="1"/>
      <name val="Arial"/>
      <scheme val="minor"/>
    </font>
    <font>
      <sz val="11"/>
      <color theme="1"/>
      <name val="Arial"/>
    </font>
    <font>
      <sz val="11"/>
      <color theme="1"/>
      <name val="Calibri"/>
    </font>
    <font>
      <sz val="10"/>
      <color theme="1"/>
      <name val="Arial"/>
    </font>
    <font>
      <sz val="8"/>
      <name val="Arial"/>
      <scheme val="minor"/>
    </font>
    <font>
      <sz val="11"/>
      <color theme="1"/>
      <name val="Arial"/>
      <scheme val="minor"/>
    </font>
    <font>
      <sz val="11"/>
      <color theme="1"/>
      <name val="Segoe UI"/>
      <family val="2"/>
    </font>
    <font>
      <b/>
      <sz val="11"/>
      <color theme="1"/>
      <name val="Segoe UI"/>
      <family val="2"/>
    </font>
    <font>
      <sz val="11"/>
      <name val="Segoe UI"/>
      <family val="2"/>
    </font>
    <font>
      <b/>
      <sz val="22"/>
      <color rgb="FF1E4E79"/>
      <name val="Segoe UI"/>
      <family val="2"/>
    </font>
    <font>
      <sz val="10"/>
      <color theme="1"/>
      <name val="Segoe UI"/>
      <family val="2"/>
    </font>
    <font>
      <b/>
      <sz val="11"/>
      <color rgb="FF1E4E79"/>
      <name val="Segoe UI"/>
      <family val="2"/>
    </font>
    <font>
      <b/>
      <sz val="10"/>
      <color theme="1"/>
      <name val="Segoe UI"/>
      <family val="2"/>
    </font>
    <font>
      <b/>
      <sz val="12"/>
      <color theme="1"/>
      <name val="Segoe UI"/>
      <family val="2"/>
    </font>
    <font>
      <b/>
      <sz val="10"/>
      <color theme="0"/>
      <name val="Segoe UI"/>
      <family val="2"/>
    </font>
    <font>
      <b/>
      <sz val="11"/>
      <color theme="0"/>
      <name val="Segoe UI"/>
      <family val="2"/>
    </font>
    <font>
      <sz val="11"/>
      <color theme="0"/>
      <name val="Segoe UI"/>
      <family val="2"/>
    </font>
    <font>
      <b/>
      <sz val="11"/>
      <color theme="8" tint="-0.249977111117893"/>
      <name val="Segoe UI"/>
      <family val="2"/>
    </font>
    <font>
      <b/>
      <sz val="12"/>
      <color theme="0"/>
      <name val="Segoe UI"/>
      <family val="2"/>
    </font>
    <font>
      <sz val="14"/>
      <color theme="1"/>
      <name val="Segoe UI"/>
      <family val="2"/>
    </font>
    <font>
      <b/>
      <sz val="14"/>
      <color theme="1"/>
      <name val="Segoe UI"/>
      <family val="2"/>
    </font>
  </fonts>
  <fills count="25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rgb="FFFFFFFF"/>
        <bgColor rgb="FFFFFFFF"/>
      </patternFill>
    </fill>
    <fill>
      <patternFill patternType="solid">
        <fgColor theme="5"/>
        <bgColor theme="5"/>
      </patternFill>
    </fill>
    <fill>
      <patternFill patternType="solid">
        <fgColor rgb="FFFFFF00"/>
        <bgColor rgb="FFFFFF00"/>
      </patternFill>
    </fill>
    <fill>
      <patternFill patternType="solid">
        <fgColor rgb="FFD8D8D8"/>
        <bgColor rgb="FFD8D8D8"/>
      </patternFill>
    </fill>
    <fill>
      <patternFill patternType="solid">
        <fgColor rgb="FF00B050"/>
        <bgColor rgb="FF00B050"/>
      </patternFill>
    </fill>
    <fill>
      <patternFill patternType="solid">
        <fgColor theme="9"/>
        <bgColor theme="9"/>
      </patternFill>
    </fill>
    <fill>
      <patternFill patternType="solid">
        <fgColor rgb="FFFF0000"/>
        <bgColor rgb="FFFF0000"/>
      </patternFill>
    </fill>
    <fill>
      <patternFill patternType="solid">
        <fgColor theme="0"/>
        <bgColor rgb="FFD8D8D8"/>
      </patternFill>
    </fill>
    <fill>
      <patternFill patternType="solid">
        <fgColor theme="0"/>
        <bgColor theme="5"/>
      </patternFill>
    </fill>
    <fill>
      <patternFill patternType="solid">
        <fgColor theme="2" tint="-0.14999847407452621"/>
        <bgColor rgb="FFD8D8D8"/>
      </patternFill>
    </fill>
    <fill>
      <patternFill patternType="solid">
        <fgColor theme="2" tint="-0.14999847407452621"/>
        <bgColor theme="5"/>
      </patternFill>
    </fill>
    <fill>
      <patternFill patternType="solid">
        <fgColor theme="5"/>
        <bgColor rgb="FFD8D8D8"/>
      </patternFill>
    </fill>
    <fill>
      <patternFill patternType="solid">
        <fgColor theme="0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rgb="FFADB9CA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-0.249977111117893"/>
        <bgColor theme="0"/>
      </patternFill>
    </fill>
    <fill>
      <patternFill patternType="solid">
        <fgColor theme="4" tint="0.79998168889431442"/>
        <bgColor theme="0"/>
      </patternFill>
    </fill>
    <fill>
      <patternFill patternType="solid">
        <fgColor theme="2" tint="-0.14999847407452621"/>
        <bgColor theme="0"/>
      </patternFill>
    </fill>
    <fill>
      <patternFill patternType="solid">
        <fgColor theme="2"/>
        <bgColor theme="0"/>
      </patternFill>
    </fill>
    <fill>
      <patternFill patternType="solid">
        <fgColor rgb="FFFFCCCC"/>
        <bgColor theme="0"/>
      </patternFill>
    </fill>
    <fill>
      <patternFill patternType="solid">
        <fgColor theme="9" tint="0.79998168889431442"/>
        <bgColor theme="0"/>
      </patternFill>
    </fill>
  </fills>
  <borders count="35"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/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</borders>
  <cellStyleXfs count="2">
    <xf numFmtId="0" fontId="0" fillId="0" borderId="0"/>
    <xf numFmtId="9" fontId="5" fillId="0" borderId="0" applyFont="0" applyFill="0" applyBorder="0" applyAlignment="0" applyProtection="0"/>
  </cellStyleXfs>
  <cellXfs count="226">
    <xf numFmtId="0" fontId="0" fillId="0" borderId="0" xfId="0"/>
    <xf numFmtId="0" fontId="1" fillId="2" borderId="1" xfId="0" applyFont="1" applyFill="1" applyBorder="1"/>
    <xf numFmtId="0" fontId="2" fillId="2" borderId="1" xfId="0" applyFont="1" applyFill="1" applyBorder="1"/>
    <xf numFmtId="0" fontId="3" fillId="2" borderId="1" xfId="0" applyFont="1" applyFill="1" applyBorder="1"/>
    <xf numFmtId="0" fontId="6" fillId="2" borderId="1" xfId="0" applyFont="1" applyFill="1" applyBorder="1"/>
    <xf numFmtId="0" fontId="6" fillId="3" borderId="1" xfId="0" applyFont="1" applyFill="1" applyBorder="1"/>
    <xf numFmtId="49" fontId="7" fillId="3" borderId="1" xfId="0" applyNumberFormat="1" applyFont="1" applyFill="1" applyBorder="1" applyAlignment="1">
      <alignment horizontal="left" vertical="center"/>
    </xf>
    <xf numFmtId="0" fontId="6" fillId="0" borderId="0" xfId="0" applyFont="1"/>
    <xf numFmtId="0" fontId="8" fillId="16" borderId="3" xfId="0" applyFont="1" applyFill="1" applyBorder="1"/>
    <xf numFmtId="0" fontId="7" fillId="15" borderId="2" xfId="0" applyFont="1" applyFill="1" applyBorder="1" applyAlignment="1">
      <alignment horizontal="center"/>
    </xf>
    <xf numFmtId="0" fontId="8" fillId="16" borderId="4" xfId="0" applyFont="1" applyFill="1" applyBorder="1"/>
    <xf numFmtId="0" fontId="6" fillId="16" borderId="0" xfId="0" applyFont="1" applyFill="1"/>
    <xf numFmtId="0" fontId="7" fillId="2" borderId="1" xfId="0" applyFont="1" applyFill="1" applyBorder="1"/>
    <xf numFmtId="0" fontId="10" fillId="2" borderId="1" xfId="0" applyFont="1" applyFill="1" applyBorder="1"/>
    <xf numFmtId="164" fontId="12" fillId="4" borderId="21" xfId="0" applyNumberFormat="1" applyFont="1" applyFill="1" applyBorder="1" applyAlignment="1">
      <alignment horizontal="left" vertical="top"/>
    </xf>
    <xf numFmtId="165" fontId="12" fillId="5" borderId="19" xfId="0" applyNumberFormat="1" applyFont="1" applyFill="1" applyBorder="1" applyAlignment="1">
      <alignment horizontal="center" vertical="top"/>
    </xf>
    <xf numFmtId="49" fontId="12" fillId="6" borderId="21" xfId="0" applyNumberFormat="1" applyFont="1" applyFill="1" applyBorder="1" applyAlignment="1">
      <alignment horizontal="left" vertical="top"/>
    </xf>
    <xf numFmtId="166" fontId="12" fillId="6" borderId="21" xfId="0" applyNumberFormat="1" applyFont="1" applyFill="1" applyBorder="1" applyAlignment="1">
      <alignment horizontal="left" vertical="top"/>
    </xf>
    <xf numFmtId="167" fontId="12" fillId="6" borderId="21" xfId="0" applyNumberFormat="1" applyFont="1" applyFill="1" applyBorder="1" applyAlignment="1">
      <alignment horizontal="left" vertical="top"/>
    </xf>
    <xf numFmtId="49" fontId="12" fillId="4" borderId="21" xfId="0" applyNumberFormat="1" applyFont="1" applyFill="1" applyBorder="1" applyAlignment="1">
      <alignment horizontal="left" vertical="top"/>
    </xf>
    <xf numFmtId="49" fontId="12" fillId="6" borderId="21" xfId="0" applyNumberFormat="1" applyFont="1" applyFill="1" applyBorder="1" applyAlignment="1">
      <alignment horizontal="center" vertical="top"/>
    </xf>
    <xf numFmtId="49" fontId="12" fillId="5" borderId="21" xfId="0" applyNumberFormat="1" applyFont="1" applyFill="1" applyBorder="1" applyAlignment="1">
      <alignment horizontal="right" vertical="top"/>
    </xf>
    <xf numFmtId="49" fontId="12" fillId="4" borderId="23" xfId="0" applyNumberFormat="1" applyFont="1" applyFill="1" applyBorder="1" applyAlignment="1">
      <alignment horizontal="left" vertical="top"/>
    </xf>
    <xf numFmtId="49" fontId="12" fillId="2" borderId="23" xfId="0" applyNumberFormat="1" applyFont="1" applyFill="1" applyBorder="1" applyAlignment="1">
      <alignment horizontal="left" vertical="top"/>
    </xf>
    <xf numFmtId="49" fontId="12" fillId="6" borderId="23" xfId="0" applyNumberFormat="1" applyFont="1" applyFill="1" applyBorder="1" applyAlignment="1">
      <alignment horizontal="left" vertical="top"/>
    </xf>
    <xf numFmtId="168" fontId="12" fillId="4" borderId="21" xfId="0" applyNumberFormat="1" applyFont="1" applyFill="1" applyBorder="1" applyAlignment="1">
      <alignment horizontal="left" vertical="top"/>
    </xf>
    <xf numFmtId="10" fontId="12" fillId="6" borderId="21" xfId="0" applyNumberFormat="1" applyFont="1" applyFill="1" applyBorder="1"/>
    <xf numFmtId="168" fontId="12" fillId="6" borderId="21" xfId="0" applyNumberFormat="1" applyFont="1" applyFill="1" applyBorder="1" applyAlignment="1">
      <alignment horizontal="left" vertical="top"/>
    </xf>
    <xf numFmtId="167" fontId="12" fillId="5" borderId="21" xfId="0" applyNumberFormat="1" applyFont="1" applyFill="1" applyBorder="1"/>
    <xf numFmtId="167" fontId="12" fillId="5" borderId="21" xfId="0" applyNumberFormat="1" applyFont="1" applyFill="1" applyBorder="1" applyAlignment="1">
      <alignment horizontal="right"/>
    </xf>
    <xf numFmtId="9" fontId="12" fillId="2" borderId="21" xfId="0" applyNumberFormat="1" applyFont="1" applyFill="1" applyBorder="1" applyAlignment="1">
      <alignment horizontal="left" vertical="top"/>
    </xf>
    <xf numFmtId="165" fontId="12" fillId="6" borderId="21" xfId="0" applyNumberFormat="1" applyFont="1" applyFill="1" applyBorder="1"/>
    <xf numFmtId="49" fontId="12" fillId="2" borderId="21" xfId="0" applyNumberFormat="1" applyFont="1" applyFill="1" applyBorder="1" applyAlignment="1">
      <alignment horizontal="left" vertical="top"/>
    </xf>
    <xf numFmtId="166" fontId="12" fillId="2" borderId="21" xfId="0" applyNumberFormat="1" applyFont="1" applyFill="1" applyBorder="1" applyAlignment="1">
      <alignment horizontal="left" vertical="top"/>
    </xf>
    <xf numFmtId="0" fontId="12" fillId="5" borderId="21" xfId="0" applyFont="1" applyFill="1" applyBorder="1" applyAlignment="1">
      <alignment horizontal="center"/>
    </xf>
    <xf numFmtId="0" fontId="12" fillId="5" borderId="21" xfId="0" applyFont="1" applyFill="1" applyBorder="1"/>
    <xf numFmtId="169" fontId="12" fillId="5" borderId="21" xfId="0" applyNumberFormat="1" applyFont="1" applyFill="1" applyBorder="1"/>
    <xf numFmtId="49" fontId="12" fillId="5" borderId="24" xfId="0" applyNumberFormat="1" applyFont="1" applyFill="1" applyBorder="1" applyAlignment="1">
      <alignment horizontal="left" vertical="top"/>
    </xf>
    <xf numFmtId="166" fontId="12" fillId="5" borderId="25" xfId="0" applyNumberFormat="1" applyFont="1" applyFill="1" applyBorder="1" applyAlignment="1">
      <alignment horizontal="left" vertical="top"/>
    </xf>
    <xf numFmtId="170" fontId="12" fillId="5" borderId="25" xfId="0" applyNumberFormat="1" applyFont="1" applyFill="1" applyBorder="1" applyAlignment="1">
      <alignment horizontal="left" vertical="top"/>
    </xf>
    <xf numFmtId="167" fontId="12" fillId="5" borderId="21" xfId="0" applyNumberFormat="1" applyFont="1" applyFill="1" applyBorder="1" applyAlignment="1">
      <alignment horizontal="center" vertical="top"/>
    </xf>
    <xf numFmtId="164" fontId="12" fillId="6" borderId="21" xfId="0" applyNumberFormat="1" applyFont="1" applyFill="1" applyBorder="1" applyAlignment="1">
      <alignment horizontal="left" vertical="top"/>
    </xf>
    <xf numFmtId="49" fontId="12" fillId="5" borderId="21" xfId="0" applyNumberFormat="1" applyFont="1" applyFill="1" applyBorder="1" applyAlignment="1">
      <alignment horizontal="left" vertical="top"/>
    </xf>
    <xf numFmtId="166" fontId="12" fillId="5" borderId="21" xfId="0" applyNumberFormat="1" applyFont="1" applyFill="1" applyBorder="1" applyAlignment="1">
      <alignment horizontal="left" vertical="top"/>
    </xf>
    <xf numFmtId="167" fontId="12" fillId="5" borderId="21" xfId="0" applyNumberFormat="1" applyFont="1" applyFill="1" applyBorder="1" applyAlignment="1">
      <alignment horizontal="left" vertical="top"/>
    </xf>
    <xf numFmtId="168" fontId="12" fillId="4" borderId="21" xfId="0" applyNumberFormat="1" applyFont="1" applyFill="1" applyBorder="1" applyAlignment="1">
      <alignment horizontal="left" vertical="top" wrapText="1"/>
    </xf>
    <xf numFmtId="167" fontId="12" fillId="2" borderId="21" xfId="0" applyNumberFormat="1" applyFont="1" applyFill="1" applyBorder="1" applyAlignment="1">
      <alignment horizontal="left" vertical="top"/>
    </xf>
    <xf numFmtId="49" fontId="12" fillId="2" borderId="29" xfId="0" applyNumberFormat="1" applyFont="1" applyFill="1" applyBorder="1" applyAlignment="1">
      <alignment horizontal="left" vertical="top"/>
    </xf>
    <xf numFmtId="1" fontId="12" fillId="2" borderId="29" xfId="0" applyNumberFormat="1" applyFont="1" applyFill="1" applyBorder="1" applyAlignment="1">
      <alignment horizontal="left" vertical="top"/>
    </xf>
    <xf numFmtId="167" fontId="12" fillId="6" borderId="21" xfId="0" applyNumberFormat="1" applyFont="1" applyFill="1" applyBorder="1" applyAlignment="1">
      <alignment horizontal="left"/>
    </xf>
    <xf numFmtId="167" fontId="12" fillId="4" borderId="21" xfId="0" applyNumberFormat="1" applyFont="1" applyFill="1" applyBorder="1" applyAlignment="1">
      <alignment horizontal="left"/>
    </xf>
    <xf numFmtId="168" fontId="12" fillId="4" borderId="23" xfId="0" applyNumberFormat="1" applyFont="1" applyFill="1" applyBorder="1" applyAlignment="1">
      <alignment horizontal="left" vertical="top"/>
    </xf>
    <xf numFmtId="10" fontId="12" fillId="6" borderId="23" xfId="0" applyNumberFormat="1" applyFont="1" applyFill="1" applyBorder="1"/>
    <xf numFmtId="2" fontId="12" fillId="5" borderId="23" xfId="0" applyNumberFormat="1" applyFont="1" applyFill="1" applyBorder="1" applyAlignment="1">
      <alignment horizontal="center" vertical="top"/>
    </xf>
    <xf numFmtId="2" fontId="12" fillId="2" borderId="29" xfId="0" applyNumberFormat="1" applyFont="1" applyFill="1" applyBorder="1" applyAlignment="1">
      <alignment horizontal="left" vertical="top"/>
    </xf>
    <xf numFmtId="0" fontId="12" fillId="5" borderId="21" xfId="0" applyFont="1" applyFill="1" applyBorder="1" applyAlignment="1">
      <alignment horizontal="left"/>
    </xf>
    <xf numFmtId="171" fontId="12" fillId="5" borderId="21" xfId="0" applyNumberFormat="1" applyFont="1" applyFill="1" applyBorder="1" applyAlignment="1">
      <alignment horizontal="left"/>
    </xf>
    <xf numFmtId="49" fontId="12" fillId="12" borderId="21" xfId="0" applyNumberFormat="1" applyFont="1" applyFill="1" applyBorder="1" applyAlignment="1">
      <alignment horizontal="left" vertical="top"/>
    </xf>
    <xf numFmtId="166" fontId="12" fillId="12" borderId="21" xfId="0" applyNumberFormat="1" applyFont="1" applyFill="1" applyBorder="1" applyAlignment="1">
      <alignment horizontal="left" vertical="top"/>
    </xf>
    <xf numFmtId="167" fontId="12" fillId="12" borderId="21" xfId="0" applyNumberFormat="1" applyFont="1" applyFill="1" applyBorder="1" applyAlignment="1">
      <alignment horizontal="left" vertical="top"/>
    </xf>
    <xf numFmtId="49" fontId="12" fillId="10" borderId="21" xfId="0" applyNumberFormat="1" applyFont="1" applyFill="1" applyBorder="1" applyAlignment="1">
      <alignment horizontal="left" vertical="top"/>
    </xf>
    <xf numFmtId="2" fontId="12" fillId="10" borderId="21" xfId="0" applyNumberFormat="1" applyFont="1" applyFill="1" applyBorder="1" applyAlignment="1">
      <alignment horizontal="left" vertical="top"/>
    </xf>
    <xf numFmtId="49" fontId="7" fillId="2" borderId="21" xfId="0" applyNumberFormat="1" applyFont="1" applyFill="1" applyBorder="1" applyAlignment="1">
      <alignment horizontal="left" vertical="top"/>
    </xf>
    <xf numFmtId="9" fontId="7" fillId="2" borderId="21" xfId="0" applyNumberFormat="1" applyFont="1" applyFill="1" applyBorder="1" applyAlignment="1">
      <alignment horizontal="left" vertical="top"/>
    </xf>
    <xf numFmtId="168" fontId="7" fillId="6" borderId="21" xfId="0" applyNumberFormat="1" applyFont="1" applyFill="1" applyBorder="1" applyAlignment="1">
      <alignment horizontal="left" vertical="top"/>
    </xf>
    <xf numFmtId="49" fontId="12" fillId="10" borderId="23" xfId="0" applyNumberFormat="1" applyFont="1" applyFill="1" applyBorder="1" applyAlignment="1">
      <alignment horizontal="left" vertical="top"/>
    </xf>
    <xf numFmtId="166" fontId="12" fillId="10" borderId="23" xfId="0" applyNumberFormat="1" applyFont="1" applyFill="1" applyBorder="1" applyAlignment="1">
      <alignment horizontal="left" vertical="top"/>
    </xf>
    <xf numFmtId="167" fontId="12" fillId="12" borderId="23" xfId="0" applyNumberFormat="1" applyFont="1" applyFill="1" applyBorder="1" applyAlignment="1">
      <alignment horizontal="left" vertical="top"/>
    </xf>
    <xf numFmtId="0" fontId="10" fillId="2" borderId="12" xfId="0" applyFont="1" applyFill="1" applyBorder="1"/>
    <xf numFmtId="49" fontId="12" fillId="11" borderId="33" xfId="0" applyNumberFormat="1" applyFont="1" applyFill="1" applyBorder="1" applyAlignment="1">
      <alignment horizontal="left" vertical="top"/>
    </xf>
    <xf numFmtId="167" fontId="12" fillId="11" borderId="33" xfId="0" applyNumberFormat="1" applyFont="1" applyFill="1" applyBorder="1" applyAlignment="1">
      <alignment horizontal="left" vertical="top"/>
    </xf>
    <xf numFmtId="165" fontId="12" fillId="13" borderId="33" xfId="0" applyNumberFormat="1" applyFont="1" applyFill="1" applyBorder="1" applyAlignment="1">
      <alignment horizontal="left" vertical="top" wrapText="1"/>
    </xf>
    <xf numFmtId="165" fontId="13" fillId="5" borderId="21" xfId="0" applyNumberFormat="1" applyFont="1" applyFill="1" applyBorder="1" applyAlignment="1">
      <alignment horizontal="left" vertical="top"/>
    </xf>
    <xf numFmtId="9" fontId="13" fillId="5" borderId="21" xfId="0" applyNumberFormat="1" applyFont="1" applyFill="1" applyBorder="1" applyAlignment="1">
      <alignment horizontal="left" vertical="top"/>
    </xf>
    <xf numFmtId="167" fontId="13" fillId="5" borderId="21" xfId="0" applyNumberFormat="1" applyFont="1" applyFill="1" applyBorder="1" applyAlignment="1">
      <alignment horizontal="left" vertical="top"/>
    </xf>
    <xf numFmtId="49" fontId="12" fillId="13" borderId="34" xfId="0" applyNumberFormat="1" applyFont="1" applyFill="1" applyBorder="1" applyAlignment="1">
      <alignment horizontal="center" vertical="top"/>
    </xf>
    <xf numFmtId="2" fontId="12" fillId="12" borderId="21" xfId="0" applyNumberFormat="1" applyFont="1" applyFill="1" applyBorder="1" applyAlignment="1">
      <alignment horizontal="left" vertical="center"/>
    </xf>
    <xf numFmtId="167" fontId="12" fillId="13" borderId="21" xfId="0" applyNumberFormat="1" applyFont="1" applyFill="1" applyBorder="1" applyAlignment="1">
      <alignment horizontal="left" vertical="top" wrapText="1"/>
    </xf>
    <xf numFmtId="165" fontId="16" fillId="0" borderId="0" xfId="0" applyNumberFormat="1" applyFont="1"/>
    <xf numFmtId="49" fontId="12" fillId="14" borderId="21" xfId="0" applyNumberFormat="1" applyFont="1" applyFill="1" applyBorder="1" applyAlignment="1">
      <alignment horizontal="left" vertical="top"/>
    </xf>
    <xf numFmtId="1" fontId="12" fillId="14" borderId="21" xfId="0" applyNumberFormat="1" applyFont="1" applyFill="1" applyBorder="1" applyAlignment="1">
      <alignment horizontal="left" vertical="top"/>
    </xf>
    <xf numFmtId="172" fontId="13" fillId="7" borderId="21" xfId="0" applyNumberFormat="1" applyFont="1" applyFill="1" applyBorder="1" applyAlignment="1">
      <alignment vertical="top"/>
    </xf>
    <xf numFmtId="49" fontId="12" fillId="13" borderId="19" xfId="0" applyNumberFormat="1" applyFont="1" applyFill="1" applyBorder="1" applyAlignment="1">
      <alignment horizontal="center" vertical="top"/>
    </xf>
    <xf numFmtId="49" fontId="12" fillId="13" borderId="25" xfId="0" applyNumberFormat="1" applyFont="1" applyFill="1" applyBorder="1" applyAlignment="1">
      <alignment horizontal="center" vertical="top"/>
    </xf>
    <xf numFmtId="9" fontId="10" fillId="2" borderId="1" xfId="1" applyFont="1" applyFill="1" applyBorder="1"/>
    <xf numFmtId="165" fontId="12" fillId="5" borderId="25" xfId="0" applyNumberFormat="1" applyFont="1" applyFill="1" applyBorder="1" applyAlignment="1">
      <alignment horizontal="center" vertical="top"/>
    </xf>
    <xf numFmtId="10" fontId="12" fillId="5" borderId="21" xfId="0" applyNumberFormat="1" applyFont="1" applyFill="1" applyBorder="1" applyAlignment="1">
      <alignment horizontal="center" vertical="top"/>
    </xf>
    <xf numFmtId="0" fontId="6" fillId="15" borderId="1" xfId="0" applyFont="1" applyFill="1" applyBorder="1"/>
    <xf numFmtId="0" fontId="0" fillId="18" borderId="0" xfId="0" applyFill="1"/>
    <xf numFmtId="0" fontId="6" fillId="3" borderId="1" xfId="0" applyFont="1" applyFill="1" applyBorder="1" applyAlignment="1">
      <alignment horizontal="center"/>
    </xf>
    <xf numFmtId="2" fontId="6" fillId="3" borderId="12" xfId="0" applyNumberFormat="1" applyFont="1" applyFill="1" applyBorder="1"/>
    <xf numFmtId="2" fontId="8" fillId="0" borderId="12" xfId="0" applyNumberFormat="1" applyFont="1" applyBorder="1"/>
    <xf numFmtId="0" fontId="7" fillId="2" borderId="1" xfId="0" applyFont="1" applyFill="1" applyBorder="1" applyAlignment="1">
      <alignment horizontal="center"/>
    </xf>
    <xf numFmtId="2" fontId="7" fillId="2" borderId="12" xfId="0" applyNumberFormat="1" applyFont="1" applyFill="1" applyBorder="1"/>
    <xf numFmtId="0" fontId="6" fillId="2" borderId="1" xfId="0" applyFont="1" applyFill="1" applyBorder="1" applyAlignment="1">
      <alignment horizontal="center"/>
    </xf>
    <xf numFmtId="2" fontId="6" fillId="2" borderId="12" xfId="0" applyNumberFormat="1" applyFont="1" applyFill="1" applyBorder="1"/>
    <xf numFmtId="1" fontId="18" fillId="17" borderId="21" xfId="0" applyNumberFormat="1" applyFont="1" applyFill="1" applyBorder="1" applyAlignment="1">
      <alignment horizontal="center"/>
    </xf>
    <xf numFmtId="0" fontId="18" fillId="17" borderId="21" xfId="0" applyFont="1" applyFill="1" applyBorder="1" applyAlignment="1">
      <alignment horizontal="center"/>
    </xf>
    <xf numFmtId="2" fontId="18" fillId="17" borderId="21" xfId="0" applyNumberFormat="1" applyFont="1" applyFill="1" applyBorder="1" applyAlignment="1">
      <alignment horizontal="center"/>
    </xf>
    <xf numFmtId="1" fontId="10" fillId="10" borderId="21" xfId="0" applyNumberFormat="1" applyFont="1" applyFill="1" applyBorder="1" applyAlignment="1">
      <alignment horizontal="center" vertical="center"/>
    </xf>
    <xf numFmtId="2" fontId="10" fillId="10" borderId="21" xfId="0" applyNumberFormat="1" applyFont="1" applyFill="1" applyBorder="1" applyAlignment="1">
      <alignment horizontal="center" vertical="center"/>
    </xf>
    <xf numFmtId="2" fontId="6" fillId="16" borderId="0" xfId="0" applyNumberFormat="1" applyFont="1" applyFill="1"/>
    <xf numFmtId="2" fontId="6" fillId="0" borderId="0" xfId="0" applyNumberFormat="1" applyFont="1"/>
    <xf numFmtId="0" fontId="8" fillId="18" borderId="6" xfId="0" applyFont="1" applyFill="1" applyBorder="1"/>
    <xf numFmtId="0" fontId="8" fillId="18" borderId="7" xfId="0" applyFont="1" applyFill="1" applyBorder="1"/>
    <xf numFmtId="0" fontId="8" fillId="18" borderId="3" xfId="0" applyFont="1" applyFill="1" applyBorder="1"/>
    <xf numFmtId="0" fontId="8" fillId="18" borderId="15" xfId="0" applyFont="1" applyFill="1" applyBorder="1"/>
    <xf numFmtId="0" fontId="6" fillId="2" borderId="12" xfId="0" applyFont="1" applyFill="1" applyBorder="1"/>
    <xf numFmtId="0" fontId="2" fillId="2" borderId="12" xfId="0" applyFont="1" applyFill="1" applyBorder="1"/>
    <xf numFmtId="0" fontId="10" fillId="17" borderId="14" xfId="0" applyFont="1" applyFill="1" applyBorder="1"/>
    <xf numFmtId="0" fontId="10" fillId="17" borderId="5" xfId="0" applyFont="1" applyFill="1" applyBorder="1"/>
    <xf numFmtId="168" fontId="12" fillId="4" borderId="21" xfId="0" applyNumberFormat="1" applyFont="1" applyFill="1" applyBorder="1" applyAlignment="1">
      <alignment vertical="top"/>
    </xf>
    <xf numFmtId="165" fontId="12" fillId="5" borderId="22" xfId="0" applyNumberFormat="1" applyFont="1" applyFill="1" applyBorder="1" applyAlignment="1">
      <alignment horizontal="center" vertical="top"/>
    </xf>
    <xf numFmtId="0" fontId="6" fillId="2" borderId="12" xfId="0" applyFont="1" applyFill="1" applyBorder="1" applyAlignment="1">
      <alignment horizontal="center"/>
    </xf>
    <xf numFmtId="0" fontId="15" fillId="19" borderId="12" xfId="0" applyFont="1" applyFill="1" applyBorder="1" applyAlignment="1">
      <alignment horizontal="center" vertical="center"/>
    </xf>
    <xf numFmtId="49" fontId="12" fillId="13" borderId="21" xfId="0" applyNumberFormat="1" applyFont="1" applyFill="1" applyBorder="1" applyAlignment="1">
      <alignment horizontal="left" vertical="top"/>
    </xf>
    <xf numFmtId="167" fontId="12" fillId="13" borderId="21" xfId="0" applyNumberFormat="1" applyFont="1" applyFill="1" applyBorder="1" applyAlignment="1">
      <alignment vertical="top"/>
    </xf>
    <xf numFmtId="49" fontId="19" fillId="2" borderId="12" xfId="0" applyNumberFormat="1" applyFont="1" applyFill="1" applyBorder="1" applyAlignment="1">
      <alignment horizontal="center"/>
    </xf>
    <xf numFmtId="2" fontId="12" fillId="6" borderId="21" xfId="0" applyNumberFormat="1" applyFont="1" applyFill="1" applyBorder="1"/>
    <xf numFmtId="168" fontId="12" fillId="13" borderId="21" xfId="0" applyNumberFormat="1" applyFont="1" applyFill="1" applyBorder="1" applyAlignment="1">
      <alignment vertical="top"/>
    </xf>
    <xf numFmtId="49" fontId="12" fillId="12" borderId="21" xfId="0" applyNumberFormat="1" applyFont="1" applyFill="1" applyBorder="1" applyAlignment="1">
      <alignment horizontal="center" vertical="top"/>
    </xf>
    <xf numFmtId="10" fontId="12" fillId="12" borderId="21" xfId="0" applyNumberFormat="1" applyFont="1" applyFill="1" applyBorder="1"/>
    <xf numFmtId="173" fontId="20" fillId="21" borderId="12" xfId="0" applyNumberFormat="1" applyFont="1" applyFill="1" applyBorder="1" applyAlignment="1">
      <alignment horizontal="center"/>
    </xf>
    <xf numFmtId="167" fontId="19" fillId="21" borderId="12" xfId="0" applyNumberFormat="1" applyFont="1" applyFill="1" applyBorder="1" applyAlignment="1">
      <alignment horizontal="center"/>
    </xf>
    <xf numFmtId="167" fontId="20" fillId="21" borderId="12" xfId="0" applyNumberFormat="1" applyFont="1" applyFill="1" applyBorder="1" applyAlignment="1">
      <alignment horizontal="center"/>
    </xf>
    <xf numFmtId="0" fontId="19" fillId="21" borderId="12" xfId="0" applyFont="1" applyFill="1" applyBorder="1" applyAlignment="1">
      <alignment horizontal="center"/>
    </xf>
    <xf numFmtId="167" fontId="19" fillId="21" borderId="12" xfId="0" applyNumberFormat="1" applyFont="1" applyFill="1" applyBorder="1" applyAlignment="1">
      <alignment horizontal="left" vertical="center"/>
    </xf>
    <xf numFmtId="0" fontId="6" fillId="21" borderId="12" xfId="0" applyFont="1" applyFill="1" applyBorder="1"/>
    <xf numFmtId="0" fontId="10" fillId="21" borderId="1" xfId="0" applyFont="1" applyFill="1" applyBorder="1"/>
    <xf numFmtId="0" fontId="3" fillId="21" borderId="1" xfId="0" applyFont="1" applyFill="1" applyBorder="1"/>
    <xf numFmtId="0" fontId="2" fillId="21" borderId="1" xfId="0" applyFont="1" applyFill="1" applyBorder="1"/>
    <xf numFmtId="0" fontId="6" fillId="22" borderId="12" xfId="0" applyFont="1" applyFill="1" applyBorder="1"/>
    <xf numFmtId="0" fontId="6" fillId="22" borderId="1" xfId="0" applyFont="1" applyFill="1" applyBorder="1"/>
    <xf numFmtId="0" fontId="2" fillId="22" borderId="1" xfId="0" applyFont="1" applyFill="1" applyBorder="1"/>
    <xf numFmtId="10" fontId="19" fillId="21" borderId="12" xfId="0" applyNumberFormat="1" applyFont="1" applyFill="1" applyBorder="1" applyAlignment="1">
      <alignment horizontal="center"/>
    </xf>
    <xf numFmtId="9" fontId="19" fillId="21" borderId="12" xfId="0" applyNumberFormat="1" applyFont="1" applyFill="1" applyBorder="1" applyAlignment="1">
      <alignment horizontal="center"/>
    </xf>
    <xf numFmtId="2" fontId="12" fillId="4" borderId="21" xfId="0" applyNumberFormat="1" applyFont="1" applyFill="1" applyBorder="1" applyAlignment="1">
      <alignment vertical="top"/>
    </xf>
    <xf numFmtId="167" fontId="20" fillId="24" borderId="12" xfId="0" applyNumberFormat="1" applyFont="1" applyFill="1" applyBorder="1" applyAlignment="1">
      <alignment horizontal="center"/>
    </xf>
    <xf numFmtId="167" fontId="20" fillId="23" borderId="12" xfId="0" applyNumberFormat="1" applyFont="1" applyFill="1" applyBorder="1" applyAlignment="1">
      <alignment horizontal="center"/>
    </xf>
    <xf numFmtId="0" fontId="6" fillId="3" borderId="12" xfId="0" applyFont="1" applyFill="1" applyBorder="1"/>
    <xf numFmtId="0" fontId="8" fillId="16" borderId="12" xfId="0" applyFont="1" applyFill="1" applyBorder="1"/>
    <xf numFmtId="0" fontId="7" fillId="2" borderId="12" xfId="0" applyFont="1" applyFill="1" applyBorder="1"/>
    <xf numFmtId="0" fontId="2" fillId="22" borderId="12" xfId="0" applyFont="1" applyFill="1" applyBorder="1"/>
    <xf numFmtId="49" fontId="9" fillId="2" borderId="2" xfId="0" applyNumberFormat="1" applyFont="1" applyFill="1" applyBorder="1" applyAlignment="1">
      <alignment horizontal="center" vertical="center"/>
    </xf>
    <xf numFmtId="49" fontId="9" fillId="2" borderId="12" xfId="0" applyNumberFormat="1" applyFont="1" applyFill="1" applyBorder="1" applyAlignment="1">
      <alignment horizontal="center" vertical="center"/>
    </xf>
    <xf numFmtId="0" fontId="18" fillId="17" borderId="14" xfId="0" applyFont="1" applyFill="1" applyBorder="1" applyAlignment="1">
      <alignment horizontal="center" vertical="center"/>
    </xf>
    <xf numFmtId="0" fontId="18" fillId="17" borderId="12" xfId="0" applyFont="1" applyFill="1" applyBorder="1" applyAlignment="1">
      <alignment horizontal="center" vertical="center"/>
    </xf>
    <xf numFmtId="49" fontId="20" fillId="20" borderId="12" xfId="0" applyNumberFormat="1" applyFont="1" applyFill="1" applyBorder="1" applyAlignment="1">
      <alignment horizontal="center" vertical="center"/>
    </xf>
    <xf numFmtId="0" fontId="13" fillId="2" borderId="12" xfId="0" applyFont="1" applyFill="1" applyBorder="1" applyAlignment="1">
      <alignment horizontal="center"/>
    </xf>
    <xf numFmtId="49" fontId="11" fillId="2" borderId="14" xfId="0" applyNumberFormat="1" applyFont="1" applyFill="1" applyBorder="1" applyAlignment="1">
      <alignment horizontal="center" vertical="center"/>
    </xf>
    <xf numFmtId="49" fontId="11" fillId="2" borderId="12" xfId="0" applyNumberFormat="1" applyFont="1" applyFill="1" applyBorder="1" applyAlignment="1">
      <alignment horizontal="center" vertical="center"/>
    </xf>
    <xf numFmtId="49" fontId="11" fillId="2" borderId="15" xfId="0" applyNumberFormat="1" applyFont="1" applyFill="1" applyBorder="1" applyAlignment="1">
      <alignment horizontal="center" vertical="center"/>
    </xf>
    <xf numFmtId="0" fontId="15" fillId="19" borderId="12" xfId="0" applyFont="1" applyFill="1" applyBorder="1" applyAlignment="1">
      <alignment horizontal="center" vertical="center"/>
    </xf>
    <xf numFmtId="165" fontId="12" fillId="5" borderId="19" xfId="0" applyNumberFormat="1" applyFont="1" applyFill="1" applyBorder="1" applyAlignment="1">
      <alignment horizontal="center" vertical="top"/>
    </xf>
    <xf numFmtId="165" fontId="12" fillId="5" borderId="22" xfId="0" applyNumberFormat="1" applyFont="1" applyFill="1" applyBorder="1" applyAlignment="1">
      <alignment horizontal="center" vertical="top"/>
    </xf>
    <xf numFmtId="165" fontId="12" fillId="5" borderId="25" xfId="0" applyNumberFormat="1" applyFont="1" applyFill="1" applyBorder="1" applyAlignment="1">
      <alignment horizontal="center" vertical="top"/>
    </xf>
    <xf numFmtId="0" fontId="10" fillId="17" borderId="30" xfId="0" applyFont="1" applyFill="1" applyBorder="1" applyAlignment="1">
      <alignment horizontal="center"/>
    </xf>
    <xf numFmtId="0" fontId="10" fillId="17" borderId="31" xfId="0" applyFont="1" applyFill="1" applyBorder="1" applyAlignment="1">
      <alignment horizontal="center"/>
    </xf>
    <xf numFmtId="0" fontId="10" fillId="17" borderId="32" xfId="0" applyFont="1" applyFill="1" applyBorder="1" applyAlignment="1">
      <alignment horizontal="center"/>
    </xf>
    <xf numFmtId="49" fontId="11" fillId="2" borderId="14" xfId="0" applyNumberFormat="1" applyFont="1" applyFill="1" applyBorder="1" applyAlignment="1">
      <alignment horizontal="center" vertical="center" wrapText="1"/>
    </xf>
    <xf numFmtId="49" fontId="11" fillId="2" borderId="12" xfId="0" applyNumberFormat="1" applyFont="1" applyFill="1" applyBorder="1" applyAlignment="1">
      <alignment horizontal="center" vertical="center" wrapText="1"/>
    </xf>
    <xf numFmtId="49" fontId="11" fillId="2" borderId="15" xfId="0" applyNumberFormat="1" applyFont="1" applyFill="1" applyBorder="1" applyAlignment="1">
      <alignment horizontal="center" vertical="center" wrapText="1"/>
    </xf>
    <xf numFmtId="0" fontId="10" fillId="17" borderId="26" xfId="0" applyFont="1" applyFill="1" applyBorder="1" applyAlignment="1">
      <alignment horizontal="center"/>
    </xf>
    <xf numFmtId="0" fontId="10" fillId="17" borderId="27" xfId="0" applyFont="1" applyFill="1" applyBorder="1" applyAlignment="1">
      <alignment horizontal="center"/>
    </xf>
    <xf numFmtId="0" fontId="10" fillId="17" borderId="28" xfId="0" applyFont="1" applyFill="1" applyBorder="1" applyAlignment="1">
      <alignment horizontal="center"/>
    </xf>
    <xf numFmtId="165" fontId="13" fillId="7" borderId="19" xfId="0" applyNumberFormat="1" applyFont="1" applyFill="1" applyBorder="1" applyAlignment="1">
      <alignment horizontal="center" vertical="top"/>
    </xf>
    <xf numFmtId="0" fontId="8" fillId="0" borderId="20" xfId="0" applyFont="1" applyBorder="1"/>
    <xf numFmtId="0" fontId="6" fillId="2" borderId="12" xfId="0" applyFont="1" applyFill="1" applyBorder="1" applyAlignment="1">
      <alignment horizontal="center"/>
    </xf>
    <xf numFmtId="0" fontId="8" fillId="0" borderId="12" xfId="0" applyFont="1" applyBorder="1"/>
    <xf numFmtId="0" fontId="6" fillId="0" borderId="12" xfId="0" applyFont="1" applyBorder="1" applyAlignment="1">
      <alignment horizontal="center"/>
    </xf>
    <xf numFmtId="168" fontId="12" fillId="6" borderId="19" xfId="0" applyNumberFormat="1" applyFont="1" applyFill="1" applyBorder="1" applyAlignment="1">
      <alignment horizontal="center" vertical="top"/>
    </xf>
    <xf numFmtId="0" fontId="12" fillId="17" borderId="19" xfId="0" applyFont="1" applyFill="1" applyBorder="1" applyAlignment="1">
      <alignment horizontal="center"/>
    </xf>
    <xf numFmtId="0" fontId="8" fillId="18" borderId="22" xfId="0" applyFont="1" applyFill="1" applyBorder="1"/>
    <xf numFmtId="0" fontId="8" fillId="18" borderId="20" xfId="0" applyFont="1" applyFill="1" applyBorder="1"/>
    <xf numFmtId="49" fontId="17" fillId="2" borderId="26" xfId="0" applyNumberFormat="1" applyFont="1" applyFill="1" applyBorder="1" applyAlignment="1">
      <alignment horizontal="center"/>
    </xf>
    <xf numFmtId="49" fontId="17" fillId="2" borderId="27" xfId="0" applyNumberFormat="1" applyFont="1" applyFill="1" applyBorder="1" applyAlignment="1">
      <alignment horizontal="center"/>
    </xf>
    <xf numFmtId="49" fontId="17" fillId="2" borderId="28" xfId="0" applyNumberFormat="1" applyFont="1" applyFill="1" applyBorder="1" applyAlignment="1">
      <alignment horizontal="center"/>
    </xf>
    <xf numFmtId="0" fontId="12" fillId="17" borderId="16" xfId="0" applyFont="1" applyFill="1" applyBorder="1" applyAlignment="1">
      <alignment horizontal="center"/>
    </xf>
    <xf numFmtId="0" fontId="8" fillId="18" borderId="17" xfId="0" applyFont="1" applyFill="1" applyBorder="1"/>
    <xf numFmtId="0" fontId="8" fillId="18" borderId="18" xfId="0" applyFont="1" applyFill="1" applyBorder="1"/>
    <xf numFmtId="165" fontId="12" fillId="5" borderId="26" xfId="0" applyNumberFormat="1" applyFont="1" applyFill="1" applyBorder="1" applyAlignment="1">
      <alignment horizontal="center" vertical="top"/>
    </xf>
    <xf numFmtId="0" fontId="8" fillId="0" borderId="28" xfId="0" applyFont="1" applyBorder="1"/>
    <xf numFmtId="0" fontId="15" fillId="9" borderId="33" xfId="0" applyFont="1" applyFill="1" applyBorder="1" applyAlignment="1">
      <alignment horizontal="center"/>
    </xf>
    <xf numFmtId="0" fontId="8" fillId="0" borderId="33" xfId="0" applyFont="1" applyBorder="1"/>
    <xf numFmtId="49" fontId="12" fillId="4" borderId="19" xfId="0" applyNumberFormat="1" applyFont="1" applyFill="1" applyBorder="1" applyAlignment="1">
      <alignment horizontal="center" vertical="top"/>
    </xf>
    <xf numFmtId="49" fontId="12" fillId="4" borderId="25" xfId="0" applyNumberFormat="1" applyFont="1" applyFill="1" applyBorder="1" applyAlignment="1">
      <alignment horizontal="center" vertical="top"/>
    </xf>
    <xf numFmtId="0" fontId="10" fillId="17" borderId="5" xfId="0" applyFont="1" applyFill="1" applyBorder="1" applyAlignment="1">
      <alignment horizontal="center"/>
    </xf>
    <xf numFmtId="0" fontId="8" fillId="18" borderId="6" xfId="0" applyFont="1" applyFill="1" applyBorder="1"/>
    <xf numFmtId="0" fontId="8" fillId="18" borderId="7" xfId="0" applyFont="1" applyFill="1" applyBorder="1"/>
    <xf numFmtId="0" fontId="10" fillId="17" borderId="16" xfId="0" applyFont="1" applyFill="1" applyBorder="1" applyAlignment="1">
      <alignment horizontal="center"/>
    </xf>
    <xf numFmtId="0" fontId="12" fillId="17" borderId="14" xfId="0" applyFont="1" applyFill="1" applyBorder="1" applyAlignment="1">
      <alignment horizontal="center"/>
    </xf>
    <xf numFmtId="0" fontId="8" fillId="18" borderId="3" xfId="0" applyFont="1" applyFill="1" applyBorder="1"/>
    <xf numFmtId="0" fontId="8" fillId="18" borderId="15" xfId="0" applyFont="1" applyFill="1" applyBorder="1"/>
    <xf numFmtId="0" fontId="10" fillId="17" borderId="14" xfId="0" applyFont="1" applyFill="1" applyBorder="1" applyAlignment="1">
      <alignment horizontal="center"/>
    </xf>
    <xf numFmtId="49" fontId="17" fillId="2" borderId="14" xfId="0" applyNumberFormat="1" applyFont="1" applyFill="1" applyBorder="1" applyAlignment="1">
      <alignment horizontal="center" vertical="center"/>
    </xf>
    <xf numFmtId="49" fontId="17" fillId="2" borderId="12" xfId="0" applyNumberFormat="1" applyFont="1" applyFill="1" applyBorder="1" applyAlignment="1">
      <alignment horizontal="center" vertical="center"/>
    </xf>
    <xf numFmtId="49" fontId="17" fillId="2" borderId="15" xfId="0" applyNumberFormat="1" applyFont="1" applyFill="1" applyBorder="1" applyAlignment="1">
      <alignment horizontal="center" vertical="center"/>
    </xf>
    <xf numFmtId="0" fontId="8" fillId="0" borderId="22" xfId="0" applyFont="1" applyBorder="1"/>
    <xf numFmtId="49" fontId="11" fillId="2" borderId="8" xfId="0" applyNumberFormat="1" applyFont="1" applyFill="1" applyBorder="1" applyAlignment="1">
      <alignment horizontal="center" vertical="center" wrapText="1"/>
    </xf>
    <xf numFmtId="0" fontId="8" fillId="0" borderId="9" xfId="0" applyFont="1" applyBorder="1"/>
    <xf numFmtId="0" fontId="8" fillId="0" borderId="10" xfId="0" applyFont="1" applyBorder="1"/>
    <xf numFmtId="0" fontId="8" fillId="0" borderId="11" xfId="0" applyFont="1" applyBorder="1"/>
    <xf numFmtId="0" fontId="8" fillId="0" borderId="13" xfId="0" applyFont="1" applyBorder="1"/>
    <xf numFmtId="49" fontId="11" fillId="2" borderId="8" xfId="0" applyNumberFormat="1" applyFont="1" applyFill="1" applyBorder="1" applyAlignment="1">
      <alignment horizontal="center" vertical="center"/>
    </xf>
    <xf numFmtId="0" fontId="12" fillId="17" borderId="22" xfId="0" applyFont="1" applyFill="1" applyBorder="1" applyAlignment="1">
      <alignment horizontal="center"/>
    </xf>
    <xf numFmtId="0" fontId="12" fillId="17" borderId="25" xfId="0" applyFont="1" applyFill="1" applyBorder="1" applyAlignment="1">
      <alignment horizontal="center"/>
    </xf>
    <xf numFmtId="0" fontId="14" fillId="8" borderId="19" xfId="0" applyFont="1" applyFill="1" applyBorder="1" applyAlignment="1">
      <alignment horizontal="center"/>
    </xf>
    <xf numFmtId="0" fontId="10" fillId="17" borderId="19" xfId="0" applyFont="1" applyFill="1" applyBorder="1" applyAlignment="1">
      <alignment horizontal="center"/>
    </xf>
    <xf numFmtId="0" fontId="10" fillId="17" borderId="22" xfId="0" applyFont="1" applyFill="1" applyBorder="1" applyAlignment="1">
      <alignment horizontal="center"/>
    </xf>
    <xf numFmtId="0" fontId="10" fillId="17" borderId="25" xfId="0" applyFont="1" applyFill="1" applyBorder="1" applyAlignment="1">
      <alignment horizontal="center"/>
    </xf>
    <xf numFmtId="165" fontId="13" fillId="7" borderId="26" xfId="0" applyNumberFormat="1" applyFont="1" applyFill="1" applyBorder="1" applyAlignment="1">
      <alignment horizontal="center" vertical="center"/>
    </xf>
    <xf numFmtId="0" fontId="8" fillId="0" borderId="27" xfId="0" applyFont="1" applyBorder="1"/>
    <xf numFmtId="0" fontId="8" fillId="0" borderId="30" xfId="0" applyFont="1" applyBorder="1"/>
    <xf numFmtId="0" fontId="8" fillId="0" borderId="31" xfId="0" applyFont="1" applyBorder="1"/>
    <xf numFmtId="0" fontId="8" fillId="0" borderId="32" xfId="0" applyFont="1" applyBorder="1"/>
    <xf numFmtId="0" fontId="12" fillId="17" borderId="5" xfId="0" applyFont="1" applyFill="1" applyBorder="1" applyAlignment="1">
      <alignment horizontal="center"/>
    </xf>
    <xf numFmtId="49" fontId="17" fillId="2" borderId="14" xfId="0" applyNumberFormat="1" applyFont="1" applyFill="1" applyBorder="1" applyAlignment="1">
      <alignment horizontal="center"/>
    </xf>
    <xf numFmtId="49" fontId="17" fillId="2" borderId="12" xfId="0" applyNumberFormat="1" applyFont="1" applyFill="1" applyBorder="1" applyAlignment="1">
      <alignment horizontal="center"/>
    </xf>
    <xf numFmtId="49" fontId="17" fillId="2" borderId="15" xfId="0" applyNumberFormat="1" applyFont="1" applyFill="1" applyBorder="1" applyAlignment="1">
      <alignment horizontal="center"/>
    </xf>
    <xf numFmtId="49" fontId="12" fillId="6" borderId="19" xfId="0" applyNumberFormat="1" applyFont="1" applyFill="1" applyBorder="1" applyAlignment="1">
      <alignment horizontal="center" vertical="top"/>
    </xf>
    <xf numFmtId="0" fontId="6" fillId="17" borderId="2" xfId="0" applyFont="1" applyFill="1" applyBorder="1" applyAlignment="1">
      <alignment horizontal="center"/>
    </xf>
    <xf numFmtId="0" fontId="8" fillId="18" borderId="12" xfId="0" applyFont="1" applyFill="1" applyBorder="1"/>
    <xf numFmtId="0" fontId="8" fillId="18" borderId="4" xfId="0" applyFont="1" applyFill="1" applyBorder="1"/>
    <xf numFmtId="0" fontId="7" fillId="3" borderId="12" xfId="0" applyFont="1" applyFill="1" applyBorder="1" applyAlignment="1">
      <alignment horizontal="right"/>
    </xf>
    <xf numFmtId="0" fontId="8" fillId="0" borderId="4" xfId="0" applyFont="1" applyBorder="1"/>
    <xf numFmtId="0" fontId="8" fillId="0" borderId="3" xfId="0" applyFont="1" applyBorder="1"/>
  </cellXfs>
  <cellStyles count="2">
    <cellStyle name="Normal" xfId="0" builtinId="0"/>
    <cellStyle name="Porcentagem" xfId="1" builtinId="5"/>
  </cellStyles>
  <dxfs count="15">
    <dxf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b/>
        <color theme="1"/>
      </font>
      <fill>
        <patternFill patternType="solid">
          <fgColor rgb="FFFF0000"/>
          <bgColor rgb="FFFF0000"/>
        </patternFill>
      </fill>
    </dxf>
    <dxf>
      <font>
        <b/>
        <color theme="0"/>
      </font>
      <fill>
        <patternFill patternType="none"/>
      </fill>
    </dxf>
    <dxf>
      <font>
        <b/>
        <color theme="0"/>
      </font>
      <fill>
        <patternFill patternType="solid">
          <fgColor rgb="FFFF0000"/>
          <bgColor rgb="FFFF0000"/>
        </patternFill>
      </fill>
    </dxf>
    <dxf>
      <font>
        <b/>
        <color theme="0"/>
      </font>
      <fill>
        <patternFill patternType="solid">
          <fgColor rgb="FFFF0000"/>
          <bgColor rgb="FFFF0000"/>
        </patternFill>
      </fill>
    </dxf>
    <dxf>
      <font>
        <b/>
        <color theme="0"/>
      </font>
      <fill>
        <patternFill patternType="solid">
          <fgColor rgb="FFFF0000"/>
          <bgColor rgb="FFFF0000"/>
        </patternFill>
      </fill>
    </dxf>
    <dxf>
      <font>
        <b/>
      </font>
      <fill>
        <patternFill patternType="solid">
          <fgColor rgb="FFFFC000"/>
          <bgColor rgb="FFFFC000"/>
        </patternFill>
      </fill>
    </dxf>
    <dxf>
      <font>
        <b/>
        <color theme="1"/>
      </font>
      <fill>
        <patternFill patternType="solid">
          <fgColor rgb="FF00B050"/>
          <bgColor rgb="FF00B050"/>
        </patternFill>
      </fill>
    </dxf>
    <dxf>
      <font>
        <b/>
        <color rgb="FFFFFFFF"/>
      </font>
      <fill>
        <patternFill patternType="solid">
          <fgColor rgb="FFFF0000"/>
          <bgColor rgb="FFFF0000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color rgb="FFFFFFFF"/>
      </font>
      <fill>
        <patternFill patternType="solid">
          <fgColor rgb="FFFF0000"/>
          <bgColor rgb="FFFF0000"/>
        </patternFill>
      </fill>
    </dxf>
    <dxf>
      <font>
        <b/>
        <color rgb="FFFFFFFF"/>
      </font>
      <fill>
        <patternFill patternType="solid">
          <fgColor rgb="FFFF0000"/>
          <bgColor rgb="FFFF0000"/>
        </patternFill>
      </fill>
    </dxf>
    <dxf>
      <font>
        <b/>
        <color rgb="FFFFFFFF"/>
      </font>
      <fill>
        <patternFill patternType="solid">
          <fgColor rgb="FFFF0000"/>
          <bgColor rgb="FFFF0000"/>
        </patternFill>
      </fill>
    </dxf>
    <dxf>
      <font>
        <b/>
        <color rgb="FFFFFFFF"/>
      </font>
      <fill>
        <patternFill patternType="solid">
          <fgColor rgb="FFFF0000"/>
          <bgColor rgb="FFFF0000"/>
        </patternFill>
      </fill>
    </dxf>
    <dxf>
      <font>
        <b/>
        <i val="0"/>
        <u/>
        <color theme="0"/>
      </font>
      <fill>
        <patternFill>
          <fgColor rgb="FFFF0000"/>
          <bgColor rgb="FFFF0000"/>
        </patternFill>
      </fill>
    </dxf>
  </dxfs>
  <tableStyles count="0" defaultTableStyle="TableStyleMedium2" defaultPivotStyle="PivotStyleLight16"/>
  <colors>
    <mruColors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customschemas.google.com/relationships/workbookmetadata" Target="metadata"/><Relationship Id="rId11" Type="http://schemas.microsoft.com/office/2006/relationships/vbaProject" Target="vbaProject.bin"/><Relationship Id="rId10" Type="http://schemas.openxmlformats.org/officeDocument/2006/relationships/calcChain" Target="calcChain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13</xdr:col>
      <xdr:colOff>270062</xdr:colOff>
      <xdr:row>1</xdr:row>
      <xdr:rowOff>56030</xdr:rowOff>
    </xdr:from>
    <xdr:ext cx="4210050" cy="54292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FB3995B6-E93B-4E30-BFF0-AB12CF551B7E}"/>
            </a:ext>
          </a:extLst>
        </xdr:cNvPr>
        <xdr:cNvSpPr txBox="1"/>
      </xdr:nvSpPr>
      <xdr:spPr>
        <a:xfrm>
          <a:off x="13627474" y="112059"/>
          <a:ext cx="4210050" cy="542925"/>
        </a:xfrm>
        <a:prstGeom prst="rect">
          <a:avLst/>
        </a:prstGeom>
        <a:solidFill>
          <a:srgbClr val="FF0000"/>
        </a:solidFill>
        <a:ln>
          <a:noFill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Clr>
              <a:schemeClr val="lt1"/>
            </a:buClr>
            <a:buSzPts val="1400"/>
            <a:buFont typeface="Calibri"/>
            <a:buNone/>
          </a:pPr>
          <a:r>
            <a:rPr lang="en-US" sz="1400" b="1">
              <a:solidFill>
                <a:schemeClr val="lt1"/>
              </a:solidFill>
              <a:latin typeface="Segoe UI" panose="020B0502040204020203" pitchFamily="34" charset="0"/>
              <a:ea typeface="Calibri"/>
              <a:cs typeface="Segoe UI" panose="020B0502040204020203" pitchFamily="34" charset="0"/>
              <a:sym typeface="Calibri"/>
            </a:rPr>
            <a:t>OBS: ALTERAR</a:t>
          </a:r>
          <a:r>
            <a:rPr lang="en-US" sz="1400" b="1" baseline="0">
              <a:solidFill>
                <a:schemeClr val="lt1"/>
              </a:solidFill>
              <a:latin typeface="Segoe UI" panose="020B0502040204020203" pitchFamily="34" charset="0"/>
              <a:ea typeface="Calibri"/>
              <a:cs typeface="Segoe UI" panose="020B0502040204020203" pitchFamily="34" charset="0"/>
              <a:sym typeface="Calibri"/>
            </a:rPr>
            <a:t> VALORES APENAS DE CÉLULAS BRANCAS E LARANJAS</a:t>
          </a:r>
          <a:endParaRPr sz="1400" b="1">
            <a:solidFill>
              <a:schemeClr val="lt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 fLocksWithSheet="0"/>
  </xdr:oneCellAnchor>
  <xdr:twoCellAnchor>
    <xdr:from>
      <xdr:col>1</xdr:col>
      <xdr:colOff>22412</xdr:colOff>
      <xdr:row>1</xdr:row>
      <xdr:rowOff>0</xdr:rowOff>
    </xdr:from>
    <xdr:to>
      <xdr:col>2</xdr:col>
      <xdr:colOff>952500</xdr:colOff>
      <xdr:row>4</xdr:row>
      <xdr:rowOff>0</xdr:rowOff>
    </xdr:to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C25354BE-F174-129E-6E62-D733060A4BF0}"/>
            </a:ext>
          </a:extLst>
        </xdr:cNvPr>
        <xdr:cNvSpPr txBox="1"/>
      </xdr:nvSpPr>
      <xdr:spPr>
        <a:xfrm>
          <a:off x="179294" y="56029"/>
          <a:ext cx="2319618" cy="6387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400"/>
            <a:t>SUA</a:t>
          </a:r>
          <a:r>
            <a:rPr lang="pt-BR" sz="1400" baseline="0"/>
            <a:t> LOGO AQUI</a:t>
          </a:r>
          <a:endParaRPr lang="pt-BR" sz="14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15</xdr:col>
      <xdr:colOff>247650</xdr:colOff>
      <xdr:row>1</xdr:row>
      <xdr:rowOff>0</xdr:rowOff>
    </xdr:from>
    <xdr:ext cx="4210050" cy="54292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3245209" y="3510125"/>
          <a:ext cx="4201583" cy="539750"/>
        </a:xfrm>
        <a:prstGeom prst="rect">
          <a:avLst/>
        </a:prstGeom>
        <a:solidFill>
          <a:srgbClr val="FF0000"/>
        </a:solidFill>
        <a:ln>
          <a:noFill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Clr>
              <a:schemeClr val="lt1"/>
            </a:buClr>
            <a:buSzPts val="1400"/>
            <a:buFont typeface="Calibri"/>
            <a:buNone/>
          </a:pPr>
          <a:r>
            <a:rPr lang="en-US" sz="1400" b="1">
              <a:solidFill>
                <a:schemeClr val="lt1"/>
              </a:solidFill>
              <a:latin typeface="Segoe UI" panose="020B0502040204020203" pitchFamily="34" charset="0"/>
              <a:ea typeface="Calibri"/>
              <a:cs typeface="Segoe UI" panose="020B0502040204020203" pitchFamily="34" charset="0"/>
              <a:sym typeface="Calibri"/>
            </a:rPr>
            <a:t>OBS: ALTERAR</a:t>
          </a:r>
          <a:r>
            <a:rPr lang="en-US" sz="1400" b="1" baseline="0">
              <a:solidFill>
                <a:schemeClr val="lt1"/>
              </a:solidFill>
              <a:latin typeface="Segoe UI" panose="020B0502040204020203" pitchFamily="34" charset="0"/>
              <a:ea typeface="Calibri"/>
              <a:cs typeface="Segoe UI" panose="020B0502040204020203" pitchFamily="34" charset="0"/>
              <a:sym typeface="Calibri"/>
            </a:rPr>
            <a:t> VALORES APENAS DE CÉLULAS BRANCAS E LARANJAS</a:t>
          </a:r>
          <a:endParaRPr sz="1400" b="1">
            <a:solidFill>
              <a:schemeClr val="lt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 fLocksWithSheet="0"/>
  </xdr:oneCellAnchor>
  <xdr:twoCellAnchor>
    <xdr:from>
      <xdr:col>0</xdr:col>
      <xdr:colOff>212911</xdr:colOff>
      <xdr:row>0</xdr:row>
      <xdr:rowOff>44823</xdr:rowOff>
    </xdr:from>
    <xdr:to>
      <xdr:col>2</xdr:col>
      <xdr:colOff>750794</xdr:colOff>
      <xdr:row>3</xdr:row>
      <xdr:rowOff>201706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11A019FA-040B-487E-94D4-E3DE745A96F6}"/>
            </a:ext>
          </a:extLst>
        </xdr:cNvPr>
        <xdr:cNvSpPr txBox="1"/>
      </xdr:nvSpPr>
      <xdr:spPr>
        <a:xfrm>
          <a:off x="212911" y="44823"/>
          <a:ext cx="1927412" cy="6387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400"/>
            <a:t>SUA</a:t>
          </a:r>
          <a:r>
            <a:rPr lang="pt-BR" sz="1400" baseline="0"/>
            <a:t> LOGO AQUI</a:t>
          </a:r>
          <a:endParaRPr lang="pt-BR" sz="1400"/>
        </a:p>
      </xdr:txBody>
    </xdr:sp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D41E3F-CA98-48C6-BB78-72B84366DA32}">
  <sheetPr codeName="Planilha1"/>
  <dimension ref="A1:V892"/>
  <sheetViews>
    <sheetView tabSelected="1" zoomScale="85" zoomScaleNormal="85" workbookViewId="0">
      <selection activeCell="G3" sqref="G3"/>
    </sheetView>
  </sheetViews>
  <sheetFormatPr defaultColWidth="12.625" defaultRowHeight="15" customHeight="1" x14ac:dyDescent="0.2"/>
  <cols>
    <col min="1" max="1" width="2" customWidth="1"/>
    <col min="2" max="2" width="18.25" customWidth="1"/>
    <col min="3" max="3" width="16.25" customWidth="1"/>
    <col min="4" max="4" width="12.625" customWidth="1"/>
    <col min="5" max="5" width="12" customWidth="1"/>
    <col min="6" max="6" width="12.625" customWidth="1"/>
    <col min="7" max="7" width="9.625" customWidth="1"/>
    <col min="8" max="8" width="18.75" customWidth="1"/>
    <col min="9" max="9" width="12.625" customWidth="1"/>
    <col min="10" max="10" width="9.625" customWidth="1"/>
    <col min="11" max="13" width="22" customWidth="1"/>
    <col min="14" max="17" width="20.625" customWidth="1"/>
    <col min="18" max="22" width="12.625" customWidth="1"/>
  </cols>
  <sheetData>
    <row r="1" spans="1:22" ht="4.5" customHeight="1" x14ac:dyDescent="0.3">
      <c r="A1" s="4"/>
      <c r="B1" s="4"/>
      <c r="C1" s="4"/>
      <c r="D1" s="4"/>
      <c r="E1" s="4"/>
      <c r="F1" s="4"/>
      <c r="G1" s="4"/>
      <c r="H1" s="4"/>
      <c r="I1" s="4"/>
      <c r="J1" s="4"/>
      <c r="K1" s="4"/>
      <c r="L1" s="107"/>
      <c r="M1" s="4"/>
      <c r="N1" s="4"/>
      <c r="O1" s="4"/>
      <c r="P1" s="4"/>
      <c r="Q1" s="4"/>
      <c r="R1" s="1"/>
      <c r="S1" s="1"/>
      <c r="T1" s="1"/>
      <c r="U1" s="1"/>
      <c r="V1" s="1"/>
    </row>
    <row r="2" spans="1:22" ht="16.5" x14ac:dyDescent="0.3">
      <c r="A2" s="5"/>
      <c r="B2" s="5"/>
      <c r="C2" s="5"/>
      <c r="D2" s="6" t="s">
        <v>99</v>
      </c>
      <c r="E2" s="5"/>
      <c r="F2" s="11"/>
      <c r="G2" s="11"/>
      <c r="H2" s="87"/>
      <c r="I2" s="5"/>
      <c r="J2" s="5"/>
      <c r="K2" s="5"/>
      <c r="L2" s="139"/>
      <c r="M2" s="5"/>
      <c r="N2" s="4"/>
      <c r="O2" s="4"/>
      <c r="P2" s="4"/>
      <c r="Q2" s="4"/>
      <c r="R2" s="2"/>
      <c r="S2" s="2"/>
      <c r="T2" s="2"/>
      <c r="U2" s="2"/>
      <c r="V2" s="2"/>
    </row>
    <row r="3" spans="1:22" ht="16.5" x14ac:dyDescent="0.3">
      <c r="A3" s="5"/>
      <c r="B3" s="5"/>
      <c r="C3" s="5"/>
      <c r="D3" s="6" t="s">
        <v>100</v>
      </c>
      <c r="E3" s="5"/>
      <c r="F3" s="5"/>
      <c r="G3" s="7"/>
      <c r="H3" s="8"/>
      <c r="I3" s="9"/>
      <c r="J3" s="8"/>
      <c r="K3" s="8"/>
      <c r="L3" s="140"/>
      <c r="M3" s="10"/>
      <c r="N3" s="4"/>
      <c r="O3" s="4"/>
      <c r="P3" s="4"/>
      <c r="Q3" s="4"/>
      <c r="R3" s="2"/>
      <c r="S3" s="2"/>
      <c r="T3" s="2"/>
      <c r="U3" s="2"/>
      <c r="V3" s="2"/>
    </row>
    <row r="4" spans="1:22" ht="16.5" x14ac:dyDescent="0.3">
      <c r="A4" s="5"/>
      <c r="B4" s="5"/>
      <c r="C4" s="5"/>
      <c r="D4" s="6" t="s">
        <v>101</v>
      </c>
      <c r="E4" s="5"/>
      <c r="F4" s="5"/>
      <c r="G4" s="11"/>
      <c r="H4" s="8"/>
      <c r="I4" s="9"/>
      <c r="J4" s="8"/>
      <c r="K4" s="8"/>
      <c r="L4" s="140"/>
      <c r="M4" s="10"/>
      <c r="N4" s="7"/>
      <c r="O4" s="4"/>
      <c r="P4" s="4"/>
      <c r="Q4" s="7"/>
      <c r="R4" s="1"/>
      <c r="S4" s="1"/>
      <c r="T4" s="1"/>
      <c r="U4" s="1"/>
      <c r="V4" s="1"/>
    </row>
    <row r="5" spans="1:22" ht="4.5" customHeight="1" x14ac:dyDescent="0.3">
      <c r="A5" s="12"/>
      <c r="B5" s="12"/>
      <c r="C5" s="12"/>
      <c r="D5" s="12"/>
      <c r="E5" s="12"/>
      <c r="F5" s="12"/>
      <c r="G5" s="12"/>
      <c r="H5" s="12"/>
      <c r="I5" s="12"/>
      <c r="J5" s="12"/>
      <c r="K5" s="12"/>
      <c r="L5" s="141"/>
      <c r="M5" s="12"/>
      <c r="N5" s="12"/>
      <c r="O5" s="4"/>
      <c r="P5" s="4"/>
      <c r="Q5" s="4"/>
      <c r="R5" s="2"/>
      <c r="S5" s="2"/>
      <c r="T5" s="2"/>
      <c r="U5" s="2"/>
      <c r="V5" s="2"/>
    </row>
    <row r="6" spans="1:22" ht="7.5" customHeight="1" x14ac:dyDescent="0.2">
      <c r="A6" s="88"/>
      <c r="B6" s="88"/>
      <c r="C6" s="88"/>
      <c r="D6" s="88"/>
      <c r="E6" s="88"/>
      <c r="F6" s="88"/>
      <c r="G6" s="88"/>
      <c r="H6" s="88"/>
      <c r="I6" s="88"/>
      <c r="J6" s="88"/>
      <c r="K6" s="88"/>
      <c r="L6" s="88"/>
      <c r="M6" s="88"/>
      <c r="N6" s="88"/>
      <c r="O6" s="88"/>
      <c r="P6" s="88"/>
      <c r="Q6" s="88"/>
      <c r="R6" s="88"/>
      <c r="S6" s="88"/>
      <c r="T6" s="88"/>
      <c r="U6" s="88"/>
      <c r="V6" s="88"/>
    </row>
    <row r="7" spans="1:22" ht="28.5" customHeight="1" x14ac:dyDescent="0.2">
      <c r="A7" s="143" t="s">
        <v>75</v>
      </c>
      <c r="B7" s="143"/>
      <c r="C7" s="143"/>
      <c r="D7" s="143"/>
      <c r="E7" s="143"/>
      <c r="F7" s="143"/>
      <c r="G7" s="143"/>
      <c r="H7" s="143"/>
      <c r="I7" s="143"/>
      <c r="J7" s="143"/>
      <c r="K7" s="143"/>
      <c r="L7" s="144"/>
      <c r="M7" s="143"/>
      <c r="N7" s="143"/>
      <c r="O7" s="143"/>
      <c r="P7" s="143"/>
      <c r="Q7" s="143"/>
      <c r="R7" s="143"/>
      <c r="S7" s="143"/>
      <c r="T7" s="143"/>
      <c r="U7" s="143"/>
      <c r="V7" s="143"/>
    </row>
    <row r="8" spans="1:22" ht="7.5" customHeight="1" x14ac:dyDescent="0.2">
      <c r="A8" s="88"/>
      <c r="B8" s="88"/>
      <c r="C8" s="88"/>
      <c r="D8" s="88"/>
      <c r="E8" s="88"/>
      <c r="F8" s="88"/>
      <c r="G8" s="88"/>
      <c r="H8" s="88"/>
      <c r="I8" s="88"/>
      <c r="J8" s="88"/>
      <c r="K8" s="88"/>
      <c r="L8" s="88"/>
      <c r="M8" s="88"/>
      <c r="N8" s="88"/>
      <c r="O8" s="88"/>
      <c r="P8" s="88"/>
      <c r="Q8" s="88"/>
      <c r="R8" s="88"/>
      <c r="S8" s="88"/>
      <c r="T8" s="88"/>
      <c r="U8" s="88"/>
      <c r="V8" s="88"/>
    </row>
    <row r="9" spans="1:22" ht="16.5" customHeight="1" x14ac:dyDescent="0.3">
      <c r="A9" s="107"/>
      <c r="B9" s="107"/>
      <c r="C9" s="107"/>
      <c r="D9" s="4"/>
      <c r="E9" s="4"/>
      <c r="F9" s="107"/>
      <c r="G9" s="107"/>
      <c r="H9" s="107"/>
      <c r="I9" s="107"/>
      <c r="J9" s="107"/>
      <c r="K9" s="107"/>
      <c r="L9" s="107"/>
      <c r="M9" s="107"/>
      <c r="N9" s="107"/>
      <c r="O9" s="107"/>
      <c r="P9" s="107"/>
      <c r="Q9" s="107"/>
      <c r="R9" s="108"/>
      <c r="S9" s="108"/>
      <c r="T9" s="108"/>
      <c r="U9" s="108"/>
      <c r="V9" s="108"/>
    </row>
    <row r="10" spans="1:22" ht="16.5" customHeight="1" x14ac:dyDescent="0.3">
      <c r="A10" s="107"/>
      <c r="B10" s="107"/>
      <c r="C10" s="107"/>
      <c r="D10" s="4"/>
      <c r="E10" s="4"/>
      <c r="F10" s="107"/>
      <c r="G10" s="107"/>
      <c r="H10" s="107"/>
      <c r="I10" s="107"/>
      <c r="J10" s="107"/>
      <c r="K10" s="107"/>
      <c r="L10" s="107"/>
      <c r="M10" s="107"/>
      <c r="N10" s="107"/>
      <c r="O10" s="107"/>
      <c r="P10" s="107"/>
      <c r="Q10" s="107"/>
      <c r="R10" s="108"/>
      <c r="S10" s="108"/>
      <c r="T10" s="108"/>
      <c r="U10" s="108"/>
      <c r="V10" s="108"/>
    </row>
    <row r="11" spans="1:22" ht="21" customHeight="1" x14ac:dyDescent="0.3">
      <c r="A11" s="107"/>
      <c r="B11" s="145" t="s">
        <v>78</v>
      </c>
      <c r="C11" s="146"/>
      <c r="D11" s="146"/>
      <c r="E11" s="146"/>
      <c r="F11" s="107"/>
      <c r="G11" s="107"/>
      <c r="H11" s="114" t="s">
        <v>79</v>
      </c>
      <c r="I11" s="114" t="s">
        <v>80</v>
      </c>
      <c r="J11" s="113"/>
      <c r="K11" s="114" t="s">
        <v>81</v>
      </c>
      <c r="L11" s="114" t="s">
        <v>83</v>
      </c>
      <c r="M11" s="107"/>
      <c r="N11" s="114" t="s">
        <v>87</v>
      </c>
      <c r="O11" s="114" t="s">
        <v>88</v>
      </c>
      <c r="P11" s="114" t="s">
        <v>84</v>
      </c>
      <c r="Q11" s="114" t="s">
        <v>63</v>
      </c>
      <c r="R11" s="108"/>
      <c r="S11" s="108"/>
      <c r="T11" s="108"/>
      <c r="U11" s="108"/>
      <c r="V11" s="108"/>
    </row>
    <row r="12" spans="1:22" ht="16.5" customHeight="1" x14ac:dyDescent="0.35">
      <c r="A12" s="107"/>
      <c r="B12" s="147"/>
      <c r="C12" s="147"/>
      <c r="D12" s="147"/>
      <c r="E12" s="147"/>
      <c r="F12" s="107"/>
      <c r="G12" s="107"/>
      <c r="H12" s="122"/>
      <c r="I12" s="125"/>
      <c r="J12" s="117"/>
      <c r="K12" s="123"/>
      <c r="L12" s="124"/>
      <c r="M12" s="107"/>
      <c r="N12" s="123"/>
      <c r="O12" s="123">
        <v>0</v>
      </c>
      <c r="P12" s="123">
        <v>0</v>
      </c>
      <c r="Q12" s="123">
        <v>0</v>
      </c>
      <c r="R12" s="108"/>
      <c r="S12" s="108"/>
      <c r="T12" s="108"/>
      <c r="U12" s="108"/>
      <c r="V12" s="108"/>
    </row>
    <row r="13" spans="1:22" ht="16.5" customHeight="1" x14ac:dyDescent="0.3">
      <c r="A13" s="107"/>
      <c r="B13" s="148" t="str">
        <f>IF(B12="","INFORME ACIMA A CHAVE DA NOTA FISCAL","")</f>
        <v>INFORME ACIMA A CHAVE DA NOTA FISCAL</v>
      </c>
      <c r="C13" s="148"/>
      <c r="D13" s="148"/>
      <c r="E13" s="148"/>
      <c r="F13" s="107"/>
      <c r="G13" s="107"/>
      <c r="H13" s="107"/>
      <c r="I13" s="107"/>
      <c r="J13" s="107"/>
      <c r="K13" s="107"/>
      <c r="L13" s="107"/>
      <c r="M13" s="107"/>
      <c r="N13" s="107"/>
      <c r="O13" s="107"/>
      <c r="P13" s="107"/>
      <c r="Q13" s="107"/>
      <c r="R13" s="108"/>
      <c r="S13" s="108"/>
      <c r="T13" s="108"/>
      <c r="U13" s="108"/>
      <c r="V13" s="108"/>
    </row>
    <row r="14" spans="1:22" ht="16.5" customHeight="1" x14ac:dyDescent="0.3">
      <c r="A14" s="107"/>
      <c r="B14" s="107"/>
      <c r="C14" s="107"/>
      <c r="D14" s="107"/>
      <c r="E14" s="107"/>
      <c r="F14" s="107"/>
      <c r="G14" s="107"/>
      <c r="H14" s="107"/>
      <c r="I14" s="107"/>
      <c r="J14" s="107"/>
      <c r="K14" s="107"/>
      <c r="L14" s="107"/>
      <c r="M14" s="107"/>
      <c r="N14" s="107"/>
      <c r="O14" s="107"/>
      <c r="P14" s="107"/>
      <c r="Q14" s="107"/>
      <c r="R14" s="108"/>
      <c r="S14" s="108"/>
      <c r="T14" s="108"/>
      <c r="U14" s="108"/>
      <c r="V14" s="108"/>
    </row>
    <row r="15" spans="1:22" ht="16.5" customHeight="1" x14ac:dyDescent="0.3">
      <c r="A15" s="131"/>
      <c r="B15" s="110"/>
      <c r="C15" s="103"/>
      <c r="D15" s="104"/>
      <c r="E15" s="131"/>
      <c r="G15" s="107"/>
      <c r="H15" s="62" t="s">
        <v>54</v>
      </c>
      <c r="I15" s="63">
        <v>0.6</v>
      </c>
      <c r="J15" s="107"/>
      <c r="K15" s="107"/>
      <c r="L15" s="107"/>
      <c r="M15" s="107"/>
      <c r="N15" s="114" t="s">
        <v>92</v>
      </c>
      <c r="O15" s="114" t="s">
        <v>85</v>
      </c>
      <c r="P15" s="114" t="s">
        <v>86</v>
      </c>
      <c r="Q15" s="107"/>
      <c r="R15" s="108"/>
      <c r="S15" s="108"/>
      <c r="T15" s="108"/>
      <c r="U15" s="108"/>
      <c r="V15" s="108"/>
    </row>
    <row r="16" spans="1:22" ht="16.5" customHeight="1" x14ac:dyDescent="0.35">
      <c r="A16" s="131"/>
      <c r="B16" s="149" t="s">
        <v>94</v>
      </c>
      <c r="C16" s="150"/>
      <c r="D16" s="151"/>
      <c r="E16" s="131"/>
      <c r="F16" s="107"/>
      <c r="G16" s="107"/>
      <c r="H16" s="107"/>
      <c r="I16" s="107"/>
      <c r="J16" s="107"/>
      <c r="K16" s="107"/>
      <c r="L16" s="107"/>
      <c r="M16" s="107"/>
      <c r="N16" s="123">
        <v>0</v>
      </c>
      <c r="O16" s="123">
        <v>0</v>
      </c>
      <c r="P16" s="123">
        <v>0</v>
      </c>
      <c r="Q16" s="107"/>
      <c r="R16" s="108"/>
      <c r="S16" s="108"/>
      <c r="T16" s="108"/>
      <c r="U16" s="108"/>
      <c r="V16" s="108"/>
    </row>
    <row r="17" spans="1:22" ht="16.5" customHeight="1" x14ac:dyDescent="0.3">
      <c r="A17" s="131"/>
      <c r="B17" s="109"/>
      <c r="C17" s="105"/>
      <c r="D17" s="106"/>
      <c r="E17" s="131"/>
      <c r="F17" s="107"/>
      <c r="G17" s="107"/>
      <c r="H17" s="107"/>
      <c r="I17" s="107"/>
      <c r="J17" s="107"/>
      <c r="K17" s="107"/>
      <c r="L17" s="107"/>
      <c r="M17" s="107"/>
      <c r="N17" s="107"/>
      <c r="O17" s="107"/>
      <c r="P17" s="107"/>
      <c r="Q17" s="107"/>
      <c r="R17" s="108"/>
      <c r="S17" s="108"/>
      <c r="T17" s="108"/>
      <c r="U17" s="108"/>
      <c r="V17" s="108"/>
    </row>
    <row r="18" spans="1:22" ht="16.5" customHeight="1" x14ac:dyDescent="0.3">
      <c r="A18" s="131"/>
      <c r="B18" s="153" t="s">
        <v>6</v>
      </c>
      <c r="C18" s="154"/>
      <c r="D18" s="155"/>
      <c r="E18" s="131"/>
      <c r="F18" s="152" t="s">
        <v>82</v>
      </c>
      <c r="G18" s="152"/>
      <c r="H18" s="152"/>
      <c r="I18" s="152"/>
      <c r="J18" s="152"/>
      <c r="K18" s="114" t="s">
        <v>95</v>
      </c>
      <c r="L18" s="114" t="s">
        <v>96</v>
      </c>
      <c r="M18" s="114" t="s">
        <v>87</v>
      </c>
      <c r="N18" s="114" t="s">
        <v>88</v>
      </c>
      <c r="O18" s="114" t="s">
        <v>84</v>
      </c>
      <c r="P18" s="114" t="s">
        <v>97</v>
      </c>
      <c r="Q18" s="114" t="s">
        <v>98</v>
      </c>
      <c r="R18" s="108"/>
      <c r="S18" s="108"/>
      <c r="T18" s="108"/>
      <c r="U18" s="108"/>
      <c r="V18" s="108"/>
    </row>
    <row r="19" spans="1:22" ht="16.5" customHeight="1" x14ac:dyDescent="0.35">
      <c r="A19" s="131"/>
      <c r="B19" s="115" t="s">
        <v>76</v>
      </c>
      <c r="C19" s="115" t="s">
        <v>11</v>
      </c>
      <c r="D19" s="120" t="s">
        <v>12</v>
      </c>
      <c r="E19" s="131"/>
      <c r="F19" s="126"/>
      <c r="G19" s="127"/>
      <c r="H19" s="127"/>
      <c r="I19" s="127"/>
      <c r="J19" s="127"/>
      <c r="K19" s="123"/>
      <c r="L19" s="134">
        <f>D27</f>
        <v>0</v>
      </c>
      <c r="M19" s="134">
        <f>D20</f>
        <v>0</v>
      </c>
      <c r="N19" s="135"/>
      <c r="O19" s="134"/>
      <c r="P19" s="137">
        <f>K19 * (1 + M19) * (1 + L19) * (1 + N19) * (1 + O19) * (1 + I15)</f>
        <v>0</v>
      </c>
      <c r="Q19" s="138">
        <f>K19 * (1 + M19) * (1 + L19) * (1 + N19) * (1 + O19) * (1 + I15 - 0.1)</f>
        <v>0</v>
      </c>
      <c r="R19" s="108"/>
      <c r="S19" s="108"/>
      <c r="T19" s="108"/>
      <c r="U19" s="108"/>
      <c r="V19" s="108"/>
    </row>
    <row r="20" spans="1:22" ht="16.5" customHeight="1" x14ac:dyDescent="0.35">
      <c r="A20" s="131"/>
      <c r="B20" s="116">
        <v>1</v>
      </c>
      <c r="C20" s="116">
        <v>0</v>
      </c>
      <c r="D20" s="121">
        <f>C20/B20</f>
        <v>0</v>
      </c>
      <c r="E20" s="131"/>
      <c r="F20" s="126"/>
      <c r="G20" s="127"/>
      <c r="H20" s="127"/>
      <c r="I20" s="127"/>
      <c r="J20" s="127"/>
      <c r="K20" s="123"/>
      <c r="L20" s="134">
        <f>D27</f>
        <v>0</v>
      </c>
      <c r="M20" s="134">
        <f>D20</f>
        <v>0</v>
      </c>
      <c r="N20" s="135"/>
      <c r="O20" s="134"/>
      <c r="P20" s="137">
        <f>K20 * (1 + M20) * (1 + L20) * (1 + N20) * (1 + O20) * (1 + I15)</f>
        <v>0</v>
      </c>
      <c r="Q20" s="138">
        <f>K20 * (1 + M20) * (1 + L20) * (1 + N20) * (1 + O20) * (1 + I15 - 0.1)</f>
        <v>0</v>
      </c>
      <c r="R20" s="108"/>
      <c r="S20" s="108"/>
      <c r="T20" s="108"/>
      <c r="U20" s="108"/>
      <c r="V20" s="108"/>
    </row>
    <row r="21" spans="1:22" ht="16.5" customHeight="1" x14ac:dyDescent="0.35">
      <c r="A21" s="131"/>
      <c r="B21" s="107"/>
      <c r="C21" s="107"/>
      <c r="D21" s="4"/>
      <c r="E21" s="131"/>
      <c r="F21" s="126"/>
      <c r="G21" s="127"/>
      <c r="H21" s="127"/>
      <c r="I21" s="127"/>
      <c r="J21" s="127"/>
      <c r="K21" s="123"/>
      <c r="L21" s="134">
        <f>D27</f>
        <v>0</v>
      </c>
      <c r="M21" s="134">
        <f>D20</f>
        <v>0</v>
      </c>
      <c r="N21" s="135"/>
      <c r="O21" s="134"/>
      <c r="P21" s="137">
        <f>K21 * (1 + M21) * (1 + L21) * (1 + N21) * (1 + O21) * (1 + I15)</f>
        <v>0</v>
      </c>
      <c r="Q21" s="138">
        <f>K21 * (1 + M21) * (1 + L21) * (1 + N21) * (1 + O21) * (1 + I15 - 0.1)</f>
        <v>0</v>
      </c>
      <c r="R21" s="108"/>
      <c r="S21" s="108"/>
      <c r="T21" s="108"/>
      <c r="U21" s="108"/>
      <c r="V21" s="108"/>
    </row>
    <row r="22" spans="1:22" ht="16.5" customHeight="1" x14ac:dyDescent="0.35">
      <c r="A22" s="131"/>
      <c r="B22" s="110"/>
      <c r="C22" s="103"/>
      <c r="D22" s="104"/>
      <c r="E22" s="131"/>
      <c r="F22" s="126"/>
      <c r="G22" s="127"/>
      <c r="H22" s="127"/>
      <c r="I22" s="127"/>
      <c r="J22" s="127"/>
      <c r="K22" s="123"/>
      <c r="L22" s="134">
        <f>D27</f>
        <v>0</v>
      </c>
      <c r="M22" s="134">
        <f>D20</f>
        <v>0</v>
      </c>
      <c r="N22" s="135"/>
      <c r="O22" s="134"/>
      <c r="P22" s="137">
        <f>K22 * (1 + M22) * (1 + L22) * (1 + N22) * (1 + O22) * (1 + I15)</f>
        <v>0</v>
      </c>
      <c r="Q22" s="138">
        <f>K22 * (1 + M22) * (1 + L22) * (1 + N22) * (1 + O22) * (1 + I15 - 0.1)</f>
        <v>0</v>
      </c>
      <c r="R22" s="108"/>
      <c r="S22" s="108"/>
      <c r="T22" s="108"/>
      <c r="U22" s="108"/>
      <c r="V22" s="108"/>
    </row>
    <row r="23" spans="1:22" ht="16.5" customHeight="1" x14ac:dyDescent="0.35">
      <c r="A23" s="131"/>
      <c r="B23" s="149" t="s">
        <v>93</v>
      </c>
      <c r="C23" s="150"/>
      <c r="D23" s="151"/>
      <c r="E23" s="131"/>
      <c r="F23" s="126"/>
      <c r="G23" s="127"/>
      <c r="H23" s="127"/>
      <c r="I23" s="127"/>
      <c r="J23" s="127"/>
      <c r="K23" s="123"/>
      <c r="L23" s="134">
        <f>D27</f>
        <v>0</v>
      </c>
      <c r="M23" s="134">
        <f>D20</f>
        <v>0</v>
      </c>
      <c r="N23" s="135"/>
      <c r="O23" s="134"/>
      <c r="P23" s="137">
        <f>K23 * (1 + M23) * (1 + L23) * (1 + N23) * (1 + O23) * (1 + I15)</f>
        <v>0</v>
      </c>
      <c r="Q23" s="138">
        <f>K23 * (1 + M23) * (1 + L23) * (1 + N23) * (1 + O23) * (1 + I15 - 0.1)</f>
        <v>0</v>
      </c>
      <c r="R23" s="108"/>
      <c r="S23" s="108"/>
      <c r="T23" s="108"/>
      <c r="U23" s="108"/>
      <c r="V23" s="108"/>
    </row>
    <row r="24" spans="1:22" ht="16.5" customHeight="1" x14ac:dyDescent="0.35">
      <c r="A24" s="131"/>
      <c r="B24" s="109"/>
      <c r="C24" s="105"/>
      <c r="D24" s="106"/>
      <c r="E24" s="131"/>
      <c r="F24" s="126"/>
      <c r="G24" s="127"/>
      <c r="H24" s="127"/>
      <c r="I24" s="127"/>
      <c r="J24" s="127"/>
      <c r="K24" s="123"/>
      <c r="L24" s="134">
        <f>D27</f>
        <v>0</v>
      </c>
      <c r="M24" s="134">
        <f>D20</f>
        <v>0</v>
      </c>
      <c r="N24" s="135"/>
      <c r="O24" s="134"/>
      <c r="P24" s="137">
        <f>K24 * (1 + M24) * (1 + L24) * (1 + N24) * (1 + O24) * (1 + I15)</f>
        <v>0</v>
      </c>
      <c r="Q24" s="138">
        <f>K24 * (1 + M24) * (1 + L24) * (1 + N24) * (1 + O24) * (1 + I15 - 0.1)</f>
        <v>0</v>
      </c>
      <c r="R24" s="108"/>
      <c r="S24" s="108"/>
      <c r="T24" s="108"/>
      <c r="U24" s="108"/>
      <c r="V24" s="108"/>
    </row>
    <row r="25" spans="1:22" ht="16.5" customHeight="1" x14ac:dyDescent="0.35">
      <c r="A25" s="131"/>
      <c r="B25" s="153" t="s">
        <v>6</v>
      </c>
      <c r="C25" s="154"/>
      <c r="D25" s="155"/>
      <c r="E25" s="131"/>
      <c r="F25" s="126"/>
      <c r="G25" s="127"/>
      <c r="H25" s="127"/>
      <c r="I25" s="127"/>
      <c r="J25" s="127"/>
      <c r="K25" s="123"/>
      <c r="L25" s="134">
        <f>D27</f>
        <v>0</v>
      </c>
      <c r="M25" s="134">
        <f>D20</f>
        <v>0</v>
      </c>
      <c r="N25" s="135"/>
      <c r="O25" s="134"/>
      <c r="P25" s="137">
        <f>K25 * (1 + M25) * (1 + L25) * (1 + N25) * (1 + O25) * (1 + I15)</f>
        <v>0</v>
      </c>
      <c r="Q25" s="138">
        <f>K25 * (1 + M25) * (1 + L25) * (1 + N25) * (1 + O25) * (1 + I15 - 0.1)</f>
        <v>0</v>
      </c>
      <c r="R25" s="108"/>
      <c r="S25" s="108"/>
      <c r="T25" s="108"/>
      <c r="U25" s="108"/>
      <c r="V25" s="108"/>
    </row>
    <row r="26" spans="1:22" ht="16.5" customHeight="1" x14ac:dyDescent="0.35">
      <c r="A26" s="131"/>
      <c r="B26" s="19" t="s">
        <v>77</v>
      </c>
      <c r="C26" s="19" t="s">
        <v>11</v>
      </c>
      <c r="D26" s="20" t="s">
        <v>35</v>
      </c>
      <c r="E26" s="131"/>
      <c r="F26" s="126"/>
      <c r="G26" s="127"/>
      <c r="H26" s="127"/>
      <c r="I26" s="127"/>
      <c r="J26" s="127"/>
      <c r="K26" s="123"/>
      <c r="L26" s="134">
        <f>D27</f>
        <v>0</v>
      </c>
      <c r="M26" s="134">
        <f>D20</f>
        <v>0</v>
      </c>
      <c r="N26" s="135"/>
      <c r="O26" s="134"/>
      <c r="P26" s="137">
        <f>K26 * (1 + M26) * (1 + L26) * (1 + N26) * (1 + O26) * (1 + I15)</f>
        <v>0</v>
      </c>
      <c r="Q26" s="138">
        <f>K26 * (1 + M26) * (1 + L26) * (1 + N26) * (1 + O26) * (1 + I15 - 0.1)</f>
        <v>0</v>
      </c>
      <c r="R26" s="108"/>
      <c r="S26" s="108"/>
      <c r="T26" s="108"/>
      <c r="U26" s="108"/>
      <c r="V26" s="108"/>
    </row>
    <row r="27" spans="1:22" ht="16.5" customHeight="1" x14ac:dyDescent="0.35">
      <c r="A27" s="131"/>
      <c r="B27" s="111">
        <v>1</v>
      </c>
      <c r="C27" s="111">
        <v>0</v>
      </c>
      <c r="D27" s="26">
        <f>C27/B27</f>
        <v>0</v>
      </c>
      <c r="E27" s="131"/>
      <c r="F27" s="126"/>
      <c r="G27" s="127"/>
      <c r="H27" s="127"/>
      <c r="I27" s="127"/>
      <c r="J27" s="127"/>
      <c r="K27" s="123"/>
      <c r="L27" s="134">
        <f>D27</f>
        <v>0</v>
      </c>
      <c r="M27" s="134">
        <f>D20</f>
        <v>0</v>
      </c>
      <c r="N27" s="135"/>
      <c r="O27" s="134"/>
      <c r="P27" s="137">
        <f>K27 * (1 + M27) * (1 + L27) * (1 + N27) * (1 + O27) * (1 + I15)</f>
        <v>0</v>
      </c>
      <c r="Q27" s="138">
        <f>K27 * (1 + M27) * (1 + L27) * (1 + N27) * (1 + O27) * (1 + I15 - 0.1)</f>
        <v>0</v>
      </c>
      <c r="R27" s="108"/>
      <c r="S27" s="108"/>
      <c r="T27" s="108"/>
      <c r="U27" s="108"/>
      <c r="V27" s="108"/>
    </row>
    <row r="28" spans="1:22" ht="16.5" customHeight="1" x14ac:dyDescent="0.35">
      <c r="A28" s="131"/>
      <c r="B28" s="107"/>
      <c r="C28" s="107"/>
      <c r="D28" s="107"/>
      <c r="E28" s="131"/>
      <c r="F28" s="126"/>
      <c r="G28" s="127"/>
      <c r="H28" s="127"/>
      <c r="I28" s="127"/>
      <c r="J28" s="127"/>
      <c r="K28" s="123"/>
      <c r="L28" s="134">
        <f>D27</f>
        <v>0</v>
      </c>
      <c r="M28" s="134">
        <f>D20</f>
        <v>0</v>
      </c>
      <c r="N28" s="135"/>
      <c r="O28" s="134"/>
      <c r="P28" s="137">
        <f>K28 * (1 + M28) * (1 + L28) * (1 + N28) * (1 + O28) * (1 + I15)</f>
        <v>0</v>
      </c>
      <c r="Q28" s="138">
        <f>K28 * (1 + M28) * (1 + L28) * (1 + N28) * (1 + O28) * (1 + I15 - 0.1)</f>
        <v>0</v>
      </c>
      <c r="R28" s="108"/>
      <c r="S28" s="108"/>
      <c r="T28" s="108"/>
      <c r="U28" s="108"/>
      <c r="V28" s="108"/>
    </row>
    <row r="29" spans="1:22" ht="16.5" customHeight="1" x14ac:dyDescent="0.35">
      <c r="A29" s="131"/>
      <c r="B29" s="110"/>
      <c r="C29" s="103"/>
      <c r="D29" s="104"/>
      <c r="E29" s="131"/>
      <c r="F29" s="126"/>
      <c r="G29" s="127"/>
      <c r="H29" s="127"/>
      <c r="I29" s="127"/>
      <c r="J29" s="127"/>
      <c r="K29" s="123"/>
      <c r="L29" s="134">
        <f>D27</f>
        <v>0</v>
      </c>
      <c r="M29" s="134">
        <f>D20</f>
        <v>0</v>
      </c>
      <c r="N29" s="135"/>
      <c r="O29" s="134"/>
      <c r="P29" s="137">
        <f>K29 * (1 + M29) * (1 + L29) * (1 + N29) * (1 + O29) * (1 + I15)</f>
        <v>0</v>
      </c>
      <c r="Q29" s="138">
        <f>K29 * (1 + M29) * (1 + L29) * (1 + N29) * (1 + O29) * (1 + I15 - 0.1)</f>
        <v>0</v>
      </c>
      <c r="R29" s="108"/>
      <c r="S29" s="108"/>
      <c r="T29" s="108"/>
      <c r="U29" s="108"/>
      <c r="V29" s="108"/>
    </row>
    <row r="30" spans="1:22" ht="16.5" customHeight="1" x14ac:dyDescent="0.35">
      <c r="A30" s="131"/>
      <c r="B30" s="149" t="s">
        <v>91</v>
      </c>
      <c r="C30" s="150"/>
      <c r="D30" s="151"/>
      <c r="E30" s="131"/>
      <c r="F30" s="126"/>
      <c r="G30" s="127"/>
      <c r="H30" s="127"/>
      <c r="I30" s="127"/>
      <c r="J30" s="127"/>
      <c r="K30" s="123"/>
      <c r="L30" s="134">
        <f>D27</f>
        <v>0</v>
      </c>
      <c r="M30" s="134">
        <f>D20</f>
        <v>0</v>
      </c>
      <c r="N30" s="135"/>
      <c r="O30" s="134"/>
      <c r="P30" s="137">
        <f>K30 * (1 + M30) * (1 + L30) * (1 + N30) * (1 + O30) * (1 + I15)</f>
        <v>0</v>
      </c>
      <c r="Q30" s="138">
        <f>K30 * (1 + M30) * (1 + L30) * (1 + N30) * (1 + O30) * (1 + I15 - 0.1)</f>
        <v>0</v>
      </c>
      <c r="R30" s="108"/>
      <c r="S30" s="108"/>
      <c r="T30" s="108"/>
      <c r="U30" s="108"/>
      <c r="V30" s="108"/>
    </row>
    <row r="31" spans="1:22" ht="16.5" customHeight="1" x14ac:dyDescent="0.35">
      <c r="A31" s="131"/>
      <c r="B31" s="109"/>
      <c r="C31" s="105"/>
      <c r="D31" s="106"/>
      <c r="E31" s="131"/>
      <c r="F31" s="126"/>
      <c r="G31" s="127"/>
      <c r="H31" s="127"/>
      <c r="I31" s="127"/>
      <c r="J31" s="127"/>
      <c r="K31" s="123"/>
      <c r="L31" s="134">
        <f>D27</f>
        <v>0</v>
      </c>
      <c r="M31" s="134">
        <f>D20</f>
        <v>0</v>
      </c>
      <c r="N31" s="135"/>
      <c r="O31" s="134"/>
      <c r="P31" s="137">
        <f>K31 * (1 + M31) * (1 + L31) * (1 + N31) * (1 + O31) * (1 + I15)</f>
        <v>0</v>
      </c>
      <c r="Q31" s="138">
        <f>K31 * (1 + M31) * (1 + L31) * (1 + N31) * (1 + O31) * (1 + 15 - 0.1)</f>
        <v>0</v>
      </c>
      <c r="R31" s="108"/>
      <c r="S31" s="108"/>
      <c r="T31" s="108"/>
      <c r="U31" s="108"/>
      <c r="V31" s="108"/>
    </row>
    <row r="32" spans="1:22" ht="16.5" customHeight="1" x14ac:dyDescent="0.35">
      <c r="A32" s="131"/>
      <c r="B32" s="15" t="s">
        <v>6</v>
      </c>
      <c r="C32" s="112"/>
      <c r="D32" s="85"/>
      <c r="E32" s="131"/>
      <c r="F32" s="126"/>
      <c r="G32" s="127"/>
      <c r="H32" s="127"/>
      <c r="I32" s="127"/>
      <c r="J32" s="127"/>
      <c r="K32" s="123"/>
      <c r="L32" s="134">
        <f>D27</f>
        <v>0</v>
      </c>
      <c r="M32" s="134">
        <f>D20</f>
        <v>0</v>
      </c>
      <c r="N32" s="135"/>
      <c r="O32" s="134"/>
      <c r="P32" s="137">
        <f>K32 * (1 + M32) * (1 + L32) * (1 + N32) * (1 + O32) * (1 + I15)</f>
        <v>0</v>
      </c>
      <c r="Q32" s="138">
        <f>K32 * (1 + M32) * (1 + L32) * (1 + N32) * (1 + O32) * (1 + I15- 0.1)</f>
        <v>0</v>
      </c>
      <c r="R32" s="108"/>
      <c r="S32" s="108"/>
      <c r="T32" s="108"/>
      <c r="U32" s="108"/>
      <c r="V32" s="108"/>
    </row>
    <row r="33" spans="1:22" ht="16.5" customHeight="1" x14ac:dyDescent="0.35">
      <c r="A33" s="131"/>
      <c r="B33" s="115" t="s">
        <v>42</v>
      </c>
      <c r="C33" s="19" t="s">
        <v>89</v>
      </c>
      <c r="D33" s="120" t="s">
        <v>90</v>
      </c>
      <c r="E33" s="131"/>
      <c r="F33" s="126"/>
      <c r="G33" s="127"/>
      <c r="H33" s="127"/>
      <c r="I33" s="127"/>
      <c r="J33" s="127"/>
      <c r="K33" s="123"/>
      <c r="L33" s="134">
        <f>D27</f>
        <v>0</v>
      </c>
      <c r="M33" s="134">
        <f>D20</f>
        <v>0</v>
      </c>
      <c r="N33" s="135"/>
      <c r="O33" s="134"/>
      <c r="P33" s="137">
        <f>K33 * (1 + M33) * (1 + L33) * (1 + N33) * (1 + O33) * (1 + I15)</f>
        <v>0</v>
      </c>
      <c r="Q33" s="138">
        <f>K33 * (1 + M33) * (1 + L33) * (1 + N33) * (1 + O33) * (1 + I15- 0.1)</f>
        <v>0</v>
      </c>
      <c r="R33" s="108"/>
      <c r="S33" s="108"/>
      <c r="T33" s="108"/>
      <c r="U33" s="108"/>
      <c r="V33" s="108"/>
    </row>
    <row r="34" spans="1:22" ht="16.5" customHeight="1" x14ac:dyDescent="0.35">
      <c r="A34" s="131"/>
      <c r="B34" s="119">
        <f>Q12</f>
        <v>0</v>
      </c>
      <c r="C34" s="136">
        <v>0</v>
      </c>
      <c r="D34" s="118" t="e">
        <f>B34/C34</f>
        <v>#DIV/0!</v>
      </c>
      <c r="E34" s="131"/>
      <c r="F34" s="126"/>
      <c r="G34" s="127"/>
      <c r="H34" s="127"/>
      <c r="I34" s="127"/>
      <c r="J34" s="127"/>
      <c r="K34" s="123"/>
      <c r="L34" s="134">
        <f>D27</f>
        <v>0</v>
      </c>
      <c r="M34" s="134">
        <f>D20</f>
        <v>0</v>
      </c>
      <c r="N34" s="135"/>
      <c r="O34" s="134"/>
      <c r="P34" s="137">
        <f>K34 * (1 + M34) * (1 + L34) * (1 + N34) * (1 + O34) * (1 + I15)</f>
        <v>0</v>
      </c>
      <c r="Q34" s="138">
        <f>K34 * (1 + M34) * (1 + L34) * (1 + N34) * (1 + O34) * (1 + I15 - 0.1)</f>
        <v>0</v>
      </c>
      <c r="R34" s="108"/>
      <c r="S34" s="108"/>
      <c r="T34" s="108"/>
      <c r="U34" s="108"/>
      <c r="V34" s="108"/>
    </row>
    <row r="35" spans="1:22" ht="16.5" customHeight="1" x14ac:dyDescent="0.35">
      <c r="A35" s="132"/>
      <c r="B35" s="13"/>
      <c r="C35" s="13"/>
      <c r="D35" s="4"/>
      <c r="E35" s="131"/>
      <c r="F35" s="126"/>
      <c r="G35" s="128"/>
      <c r="H35" s="128"/>
      <c r="I35" s="128"/>
      <c r="J35" s="128"/>
      <c r="K35" s="123"/>
      <c r="L35" s="134">
        <f>D27</f>
        <v>0</v>
      </c>
      <c r="M35" s="134">
        <f>D20</f>
        <v>0</v>
      </c>
      <c r="N35" s="135"/>
      <c r="O35" s="134"/>
      <c r="P35" s="137">
        <f>K35 * (1 + M35) * (1 + L35) * (1 + N35) * (1 + O35) * (1 + I15)</f>
        <v>0</v>
      </c>
      <c r="Q35" s="138">
        <f>K35 * (1 + M35) * (1 + L35) * (1 + N35) * (1 + O35) * (1 + I15 - 0.1)</f>
        <v>0</v>
      </c>
      <c r="R35" s="2"/>
      <c r="S35" s="2"/>
      <c r="T35" s="2"/>
      <c r="U35" s="2"/>
      <c r="V35" s="2"/>
    </row>
    <row r="36" spans="1:22" ht="16.5" customHeight="1" x14ac:dyDescent="0.35">
      <c r="A36" s="133"/>
      <c r="B36" s="13"/>
      <c r="C36" s="13"/>
      <c r="D36" s="4"/>
      <c r="E36" s="131"/>
      <c r="F36" s="126"/>
      <c r="G36" s="129"/>
      <c r="H36" s="130"/>
      <c r="I36" s="130"/>
      <c r="J36" s="130"/>
      <c r="K36" s="123"/>
      <c r="L36" s="134">
        <f>D27</f>
        <v>0</v>
      </c>
      <c r="M36" s="134">
        <f>D20</f>
        <v>0</v>
      </c>
      <c r="N36" s="135"/>
      <c r="O36" s="134"/>
      <c r="P36" s="137">
        <f>K36 * (1 + M36) * (1 + L36) * (1 + N36) * (1 + O36) * (1 + I15)</f>
        <v>0</v>
      </c>
      <c r="Q36" s="138">
        <f>K36 * (1 + M36) * (1 + L36) * (1 + N36) * (1 + O36) * (1 + I15 - 0.1)</f>
        <v>0</v>
      </c>
      <c r="R36" s="2"/>
      <c r="S36" s="2"/>
      <c r="T36" s="2"/>
      <c r="U36" s="2"/>
      <c r="V36" s="2"/>
    </row>
    <row r="37" spans="1:22" ht="16.5" customHeight="1" x14ac:dyDescent="0.35">
      <c r="A37" s="133"/>
      <c r="B37" s="13"/>
      <c r="C37" s="13"/>
      <c r="D37" s="4"/>
      <c r="E37" s="131"/>
      <c r="F37" s="126"/>
      <c r="G37" s="129"/>
      <c r="H37" s="130"/>
      <c r="I37" s="130"/>
      <c r="J37" s="130"/>
      <c r="K37" s="123"/>
      <c r="L37" s="134">
        <f>D27</f>
        <v>0</v>
      </c>
      <c r="M37" s="134">
        <f>D20</f>
        <v>0</v>
      </c>
      <c r="N37" s="135"/>
      <c r="O37" s="134"/>
      <c r="P37" s="137">
        <f>K37 * (1 + M37) * (1 + L37) * (1 + N37) * (1 + O37) * (1 + I15)</f>
        <v>0</v>
      </c>
      <c r="Q37" s="138">
        <f>K37 * (1 + M37) * (1 + L37) * (1 + N37) * (1 + O37) * (1 + I15 - 0.1)</f>
        <v>0</v>
      </c>
      <c r="R37" s="2"/>
      <c r="S37" s="2"/>
      <c r="T37" s="2"/>
      <c r="U37" s="2"/>
      <c r="V37" s="2"/>
    </row>
    <row r="38" spans="1:22" ht="16.5" customHeight="1" x14ac:dyDescent="0.35">
      <c r="A38" s="133"/>
      <c r="B38" s="13"/>
      <c r="C38" s="13"/>
      <c r="D38" s="4"/>
      <c r="E38" s="131"/>
      <c r="F38" s="126"/>
      <c r="G38" s="129"/>
      <c r="H38" s="130"/>
      <c r="I38" s="130"/>
      <c r="J38" s="130"/>
      <c r="K38" s="123"/>
      <c r="L38" s="134">
        <f>D27</f>
        <v>0</v>
      </c>
      <c r="M38" s="134">
        <f>D20</f>
        <v>0</v>
      </c>
      <c r="N38" s="135"/>
      <c r="O38" s="134"/>
      <c r="P38" s="137">
        <f>K38 * (1 + M38) * (1 + L38) * (1 + N38) * (1 + O38) * (1 + I15)</f>
        <v>0</v>
      </c>
      <c r="Q38" s="138">
        <f>K38 * (1 + M38) * (1 + L38) * (1 + N38) * (1 + O38) * (1 + I15 - 0.1)</f>
        <v>0</v>
      </c>
      <c r="R38" s="2"/>
      <c r="S38" s="2"/>
      <c r="T38" s="2"/>
      <c r="U38" s="2"/>
      <c r="V38" s="2"/>
    </row>
    <row r="39" spans="1:22" ht="16.5" customHeight="1" x14ac:dyDescent="0.35">
      <c r="A39" s="133"/>
      <c r="B39" s="13"/>
      <c r="C39" s="13"/>
      <c r="D39" s="4"/>
      <c r="E39" s="131"/>
      <c r="F39" s="126"/>
      <c r="G39" s="129"/>
      <c r="H39" s="130"/>
      <c r="I39" s="130"/>
      <c r="J39" s="130"/>
      <c r="K39" s="123"/>
      <c r="L39" s="134">
        <f>D27</f>
        <v>0</v>
      </c>
      <c r="M39" s="134">
        <f>D20</f>
        <v>0</v>
      </c>
      <c r="N39" s="135"/>
      <c r="O39" s="134"/>
      <c r="P39" s="137">
        <f>K39 * (1 + M39) * (1 + L39) * (1 + N39) * (1 + O39) * (1 + I15)</f>
        <v>0</v>
      </c>
      <c r="Q39" s="138">
        <f>K39 * (1 + M39) * (1 + L39) * (1 + N39) * (1 + O39) * (1 + I15 - 0.1)</f>
        <v>0</v>
      </c>
      <c r="R39" s="2"/>
      <c r="S39" s="2"/>
      <c r="T39" s="2"/>
      <c r="U39" s="2"/>
      <c r="V39" s="2"/>
    </row>
    <row r="40" spans="1:22" ht="16.5" customHeight="1" x14ac:dyDescent="0.35">
      <c r="A40" s="133"/>
      <c r="B40" s="13"/>
      <c r="C40" s="13"/>
      <c r="D40" s="4"/>
      <c r="E40" s="131"/>
      <c r="F40" s="126"/>
      <c r="G40" s="130"/>
      <c r="H40" s="130"/>
      <c r="I40" s="130"/>
      <c r="J40" s="130"/>
      <c r="K40" s="123"/>
      <c r="L40" s="134">
        <f>D27</f>
        <v>0</v>
      </c>
      <c r="M40" s="134">
        <f>D20</f>
        <v>0</v>
      </c>
      <c r="N40" s="135"/>
      <c r="O40" s="134"/>
      <c r="P40" s="137">
        <f>K40 * (1 + M40) * (1 + L40) * (1 + N40) * (1 + O40) * (1 + I15)</f>
        <v>0</v>
      </c>
      <c r="Q40" s="138">
        <f>K40 * (1 + M40) * (1 + L40) * (1 + N40) * (1 + O40) * (1 + I15 - 0.1)</f>
        <v>0</v>
      </c>
      <c r="R40" s="2"/>
      <c r="S40" s="2"/>
      <c r="T40" s="2"/>
      <c r="U40" s="2"/>
      <c r="V40" s="2"/>
    </row>
    <row r="41" spans="1:22" ht="16.5" customHeight="1" x14ac:dyDescent="0.35">
      <c r="A41" s="133"/>
      <c r="B41" s="13"/>
      <c r="C41" s="13"/>
      <c r="D41" s="4"/>
      <c r="E41" s="131"/>
      <c r="F41" s="126"/>
      <c r="G41" s="130"/>
      <c r="H41" s="130"/>
      <c r="I41" s="130"/>
      <c r="J41" s="130"/>
      <c r="K41" s="123"/>
      <c r="L41" s="134">
        <f>D27</f>
        <v>0</v>
      </c>
      <c r="M41" s="134">
        <f>D20</f>
        <v>0</v>
      </c>
      <c r="N41" s="135"/>
      <c r="O41" s="134"/>
      <c r="P41" s="137">
        <f>K41 * (1 + M41) * (1 + L41) * (1 + N41) * (1 + O41) * (1 + I15)</f>
        <v>0</v>
      </c>
      <c r="Q41" s="138">
        <f>K41 * (1 + M41) * (1 + L41) * (1 + N41) * (1 + O41) * (1 + I15 - 0.1)</f>
        <v>0</v>
      </c>
      <c r="R41" s="2"/>
      <c r="S41" s="2"/>
      <c r="T41" s="2"/>
      <c r="U41" s="2"/>
      <c r="V41" s="2"/>
    </row>
    <row r="42" spans="1:22" ht="16.5" customHeight="1" x14ac:dyDescent="0.35">
      <c r="A42" s="133"/>
      <c r="B42" s="13"/>
      <c r="C42" s="13"/>
      <c r="D42" s="4"/>
      <c r="E42" s="131"/>
      <c r="F42" s="126"/>
      <c r="G42" s="130"/>
      <c r="H42" s="130"/>
      <c r="I42" s="130"/>
      <c r="J42" s="130"/>
      <c r="K42" s="123"/>
      <c r="L42" s="134">
        <f>D27</f>
        <v>0</v>
      </c>
      <c r="M42" s="134">
        <f>D20</f>
        <v>0</v>
      </c>
      <c r="N42" s="135"/>
      <c r="O42" s="134"/>
      <c r="P42" s="137">
        <f>K42 * (1 + M42) * (1 + L42) * (1 + N42) * (1 + O42) * (1 + I15)</f>
        <v>0</v>
      </c>
      <c r="Q42" s="138">
        <f>K42 * (1 + M42) * (1 + L42) * (1 + N42) * (1 + O42) * (1 + I15 - 0.1)</f>
        <v>0</v>
      </c>
      <c r="R42" s="2"/>
      <c r="S42" s="2"/>
      <c r="T42" s="2"/>
      <c r="U42" s="2"/>
      <c r="V42" s="2"/>
    </row>
    <row r="43" spans="1:22" ht="16.5" customHeight="1" x14ac:dyDescent="0.35">
      <c r="A43" s="133"/>
      <c r="B43" s="13"/>
      <c r="C43" s="13"/>
      <c r="D43" s="4"/>
      <c r="E43" s="131"/>
      <c r="F43" s="126"/>
      <c r="G43" s="130"/>
      <c r="H43" s="130"/>
      <c r="I43" s="130"/>
      <c r="J43" s="130"/>
      <c r="K43" s="123"/>
      <c r="L43" s="134">
        <f>D27</f>
        <v>0</v>
      </c>
      <c r="M43" s="134">
        <f>D20</f>
        <v>0</v>
      </c>
      <c r="N43" s="135"/>
      <c r="O43" s="134"/>
      <c r="P43" s="137">
        <f>K43 * (1 + M43) * (1 + L43) * (1 + N43) * (1 + O43) * (1 + I15)</f>
        <v>0</v>
      </c>
      <c r="Q43" s="138">
        <f>K43 * (1 + M43) * (1 + L43) * (1 + N43) * (1 + O43) * (1 + I15 - 0.1)</f>
        <v>0</v>
      </c>
      <c r="R43" s="2"/>
      <c r="S43" s="2"/>
      <c r="T43" s="2"/>
      <c r="U43" s="2"/>
      <c r="V43" s="2"/>
    </row>
    <row r="44" spans="1:22" ht="16.5" customHeight="1" x14ac:dyDescent="0.35">
      <c r="A44" s="133"/>
      <c r="B44" s="13"/>
      <c r="C44" s="13"/>
      <c r="D44" s="4"/>
      <c r="E44" s="131"/>
      <c r="F44" s="126"/>
      <c r="G44" s="130"/>
      <c r="H44" s="130"/>
      <c r="I44" s="130"/>
      <c r="J44" s="130"/>
      <c r="K44" s="123"/>
      <c r="L44" s="134">
        <f>D27</f>
        <v>0</v>
      </c>
      <c r="M44" s="134">
        <f>D20</f>
        <v>0</v>
      </c>
      <c r="N44" s="135"/>
      <c r="O44" s="134"/>
      <c r="P44" s="137">
        <f>K44 * (1 + M44) * (1 + L44) * (1 + N44) * (1 + O44) * (1 + I15)</f>
        <v>0</v>
      </c>
      <c r="Q44" s="138">
        <f>K44 * (1 + M44) * (1 + L44) * (1 + N44) * (1 + O44) * (1 + I15 - 0.1)</f>
        <v>0</v>
      </c>
      <c r="R44" s="2"/>
      <c r="S44" s="2"/>
      <c r="T44" s="2"/>
      <c r="U44" s="2"/>
      <c r="V44" s="2"/>
    </row>
    <row r="45" spans="1:22" ht="16.5" customHeight="1" x14ac:dyDescent="0.35">
      <c r="A45" s="133"/>
      <c r="B45" s="13"/>
      <c r="C45" s="13"/>
      <c r="D45" s="4"/>
      <c r="E45" s="131"/>
      <c r="F45" s="126"/>
      <c r="G45" s="130"/>
      <c r="H45" s="130"/>
      <c r="I45" s="130"/>
      <c r="J45" s="130"/>
      <c r="K45" s="123"/>
      <c r="L45" s="134">
        <f>D27</f>
        <v>0</v>
      </c>
      <c r="M45" s="134">
        <f>D20</f>
        <v>0</v>
      </c>
      <c r="N45" s="135"/>
      <c r="O45" s="134"/>
      <c r="P45" s="137">
        <f>K45 * (1 + M45) * (1 + L45) * (1 + N45) * (1 + O45) * (1 + I15)</f>
        <v>0</v>
      </c>
      <c r="Q45" s="138">
        <f>K45 * (1 + M45) * (1 + L45) * (1 + N45) * (1 + O45) * (1 + I15 - 0.1)</f>
        <v>0</v>
      </c>
      <c r="R45" s="2"/>
      <c r="S45" s="2"/>
      <c r="T45" s="2"/>
      <c r="U45" s="2"/>
      <c r="V45" s="2"/>
    </row>
    <row r="46" spans="1:22" ht="16.5" customHeight="1" x14ac:dyDescent="0.35">
      <c r="A46" s="133"/>
      <c r="B46" s="13"/>
      <c r="C46" s="13"/>
      <c r="D46" s="4"/>
      <c r="E46" s="131"/>
      <c r="F46" s="126"/>
      <c r="G46" s="130"/>
      <c r="H46" s="130"/>
      <c r="I46" s="130"/>
      <c r="J46" s="130"/>
      <c r="K46" s="123"/>
      <c r="L46" s="134">
        <f>D27</f>
        <v>0</v>
      </c>
      <c r="M46" s="134">
        <f>D20</f>
        <v>0</v>
      </c>
      <c r="N46" s="135"/>
      <c r="O46" s="134"/>
      <c r="P46" s="137">
        <f>K46 * (1 + M46) * (1 + L46) * (1 + N46) * (1 + O46) * (1 + I15)</f>
        <v>0</v>
      </c>
      <c r="Q46" s="138">
        <f>K46 * (1 + M46) * (1 + L46) * (1 + N46) * (1 + O46) * (1 + I15 - 0.1)</f>
        <v>0</v>
      </c>
      <c r="R46" s="2"/>
      <c r="S46" s="2"/>
      <c r="T46" s="2"/>
      <c r="U46" s="2"/>
      <c r="V46" s="2"/>
    </row>
    <row r="47" spans="1:22" ht="16.5" customHeight="1" x14ac:dyDescent="0.35">
      <c r="A47" s="133"/>
      <c r="B47" s="13"/>
      <c r="C47" s="13"/>
      <c r="D47" s="4"/>
      <c r="E47" s="131"/>
      <c r="F47" s="126"/>
      <c r="G47" s="130"/>
      <c r="H47" s="130"/>
      <c r="I47" s="130"/>
      <c r="J47" s="130"/>
      <c r="K47" s="123"/>
      <c r="L47" s="134">
        <f>D27</f>
        <v>0</v>
      </c>
      <c r="M47" s="134">
        <f>D20</f>
        <v>0</v>
      </c>
      <c r="N47" s="135"/>
      <c r="O47" s="134"/>
      <c r="P47" s="137">
        <f>K47 * (1 + M47) * (1 + L47) * (1 + N47) * (1 + O47) * (1 + I15)</f>
        <v>0</v>
      </c>
      <c r="Q47" s="138">
        <f>K47 * (1 + M47) * (1 + L47) * (1 + N47) * (1 + O47) * (1 + I15 - 0.1)</f>
        <v>0</v>
      </c>
      <c r="R47" s="2"/>
      <c r="S47" s="2"/>
      <c r="T47" s="2"/>
      <c r="U47" s="2"/>
      <c r="V47" s="2"/>
    </row>
    <row r="48" spans="1:22" ht="16.5" customHeight="1" x14ac:dyDescent="0.35">
      <c r="A48" s="133"/>
      <c r="B48" s="13"/>
      <c r="C48" s="13"/>
      <c r="D48" s="4"/>
      <c r="E48" s="131"/>
      <c r="F48" s="126"/>
      <c r="G48" s="130"/>
      <c r="H48" s="130"/>
      <c r="I48" s="130"/>
      <c r="J48" s="130"/>
      <c r="K48" s="123"/>
      <c r="L48" s="134">
        <f>D27</f>
        <v>0</v>
      </c>
      <c r="M48" s="134">
        <f>D20</f>
        <v>0</v>
      </c>
      <c r="N48" s="135"/>
      <c r="O48" s="134"/>
      <c r="P48" s="137">
        <f>K48 * (1 + M48) * (1 + L48) * (1 + N48) * (1 + O48) * (1 + I15)</f>
        <v>0</v>
      </c>
      <c r="Q48" s="138">
        <f>K48 * (1 + M48) * (1 + L48) * (1 + N48) * (1 + O48) * (1 + I15 - 0.1)</f>
        <v>0</v>
      </c>
      <c r="R48" s="2"/>
      <c r="S48" s="2"/>
      <c r="T48" s="2"/>
      <c r="U48" s="2"/>
      <c r="V48" s="2"/>
    </row>
    <row r="49" spans="1:22" ht="16.5" customHeight="1" x14ac:dyDescent="0.35">
      <c r="A49" s="133"/>
      <c r="B49" s="13"/>
      <c r="C49" s="13"/>
      <c r="D49" s="4"/>
      <c r="E49" s="131"/>
      <c r="F49" s="126"/>
      <c r="G49" s="130"/>
      <c r="H49" s="130"/>
      <c r="I49" s="130"/>
      <c r="J49" s="130"/>
      <c r="K49" s="123"/>
      <c r="L49" s="134">
        <f>D27</f>
        <v>0</v>
      </c>
      <c r="M49" s="134">
        <f>D20</f>
        <v>0</v>
      </c>
      <c r="N49" s="135"/>
      <c r="O49" s="134"/>
      <c r="P49" s="137">
        <f>K49 * (1 + M49) * (1 + L49) * (1 + N49) * (1 + O49) * (1 + I15)</f>
        <v>0</v>
      </c>
      <c r="Q49" s="138">
        <f>K49 * (1 + M49) * (1 + L49) * (1 + N49) * (1 + O49) * (1 + I15 - 0.1)</f>
        <v>0</v>
      </c>
      <c r="R49" s="2"/>
      <c r="S49" s="2"/>
      <c r="T49" s="2"/>
      <c r="U49" s="2"/>
      <c r="V49" s="2"/>
    </row>
    <row r="50" spans="1:22" ht="16.5" customHeight="1" x14ac:dyDescent="0.35">
      <c r="A50" s="133"/>
      <c r="B50" s="13"/>
      <c r="C50" s="13"/>
      <c r="D50" s="4"/>
      <c r="E50" s="131"/>
      <c r="F50" s="126"/>
      <c r="G50" s="130"/>
      <c r="H50" s="130"/>
      <c r="I50" s="130"/>
      <c r="J50" s="130"/>
      <c r="K50" s="123"/>
      <c r="L50" s="134">
        <f>D27</f>
        <v>0</v>
      </c>
      <c r="M50" s="134">
        <f>D20</f>
        <v>0</v>
      </c>
      <c r="N50" s="135"/>
      <c r="O50" s="134"/>
      <c r="P50" s="137">
        <f>K50 * (1 + M50) * (1 + L50) * (1 + N50) * (1 + O50) * (1 + I15)</f>
        <v>0</v>
      </c>
      <c r="Q50" s="138">
        <f>K50 * (1 + M50) * (1 + L50) * (1 + N50) * (1 + O50) * (1 + I15 - 0.1)</f>
        <v>0</v>
      </c>
      <c r="R50" s="2"/>
      <c r="S50" s="2"/>
      <c r="T50" s="2"/>
      <c r="U50" s="2"/>
      <c r="V50" s="2"/>
    </row>
    <row r="51" spans="1:22" ht="16.5" customHeight="1" x14ac:dyDescent="0.35">
      <c r="A51" s="133"/>
      <c r="B51" s="13"/>
      <c r="C51" s="13"/>
      <c r="D51" s="4"/>
      <c r="E51" s="131"/>
      <c r="F51" s="126"/>
      <c r="G51" s="130"/>
      <c r="H51" s="130"/>
      <c r="I51" s="130"/>
      <c r="J51" s="130"/>
      <c r="K51" s="123"/>
      <c r="L51" s="134">
        <f>D27</f>
        <v>0</v>
      </c>
      <c r="M51" s="134">
        <f>D20</f>
        <v>0</v>
      </c>
      <c r="N51" s="135"/>
      <c r="O51" s="134"/>
      <c r="P51" s="137">
        <f>K51 * (1 + M51) * (1 + L51) * (1 + N51) * (1 + O51) * (1 + I15)</f>
        <v>0</v>
      </c>
      <c r="Q51" s="138">
        <f>K51 * (1 + M51) * (1 + L51) * (1 + N51) * (1 + O51) * (1 + I15 - 0.1)</f>
        <v>0</v>
      </c>
      <c r="R51" s="2"/>
      <c r="S51" s="2"/>
      <c r="T51" s="2"/>
      <c r="U51" s="2"/>
      <c r="V51" s="2"/>
    </row>
    <row r="52" spans="1:22" ht="16.5" customHeight="1" x14ac:dyDescent="0.3">
      <c r="A52" s="133"/>
      <c r="B52" s="13"/>
      <c r="C52" s="13"/>
      <c r="D52" s="4"/>
      <c r="E52" s="131"/>
      <c r="F52" s="2"/>
      <c r="G52" s="2"/>
      <c r="H52" s="133"/>
      <c r="I52" s="133"/>
      <c r="J52" s="133"/>
      <c r="K52" s="133"/>
      <c r="L52" s="142"/>
      <c r="M52" s="2"/>
      <c r="N52" s="2"/>
      <c r="O52" s="2"/>
      <c r="P52" s="2"/>
      <c r="Q52" s="2"/>
      <c r="R52" s="2"/>
      <c r="S52" s="2"/>
      <c r="T52" s="2"/>
      <c r="U52" s="2"/>
      <c r="V52" s="2"/>
    </row>
    <row r="53" spans="1:22" ht="16.5" customHeight="1" x14ac:dyDescent="0.3">
      <c r="A53" s="133"/>
      <c r="B53" s="13"/>
      <c r="C53" s="13"/>
      <c r="D53" s="4"/>
      <c r="E53" s="131"/>
      <c r="F53" s="2"/>
      <c r="G53" s="2"/>
      <c r="H53" s="133"/>
      <c r="I53" s="133"/>
      <c r="J53" s="133"/>
      <c r="K53" s="133"/>
      <c r="L53" s="142"/>
      <c r="M53" s="2"/>
      <c r="N53" s="2"/>
      <c r="O53" s="2"/>
      <c r="P53" s="2"/>
      <c r="Q53" s="2"/>
      <c r="R53" s="2"/>
      <c r="S53" s="2"/>
      <c r="T53" s="2"/>
      <c r="U53" s="2"/>
      <c r="V53" s="2"/>
    </row>
    <row r="54" spans="1:22" ht="16.5" customHeight="1" x14ac:dyDescent="0.3">
      <c r="A54" s="133"/>
      <c r="B54" s="13"/>
      <c r="C54" s="13"/>
      <c r="D54" s="4"/>
      <c r="E54" s="131"/>
      <c r="F54" s="2"/>
      <c r="G54" s="2"/>
      <c r="H54" s="2"/>
      <c r="I54" s="2"/>
      <c r="J54" s="2"/>
      <c r="K54" s="2"/>
      <c r="L54" s="108"/>
      <c r="M54" s="2"/>
      <c r="N54" s="2"/>
      <c r="O54" s="2"/>
      <c r="P54" s="2"/>
      <c r="Q54" s="2"/>
      <c r="R54" s="2"/>
      <c r="S54" s="2"/>
      <c r="T54" s="2"/>
      <c r="U54" s="2"/>
      <c r="V54" s="2"/>
    </row>
    <row r="55" spans="1:22" ht="15.75" customHeight="1" x14ac:dyDescent="0.3">
      <c r="A55" s="133"/>
      <c r="B55" s="13"/>
      <c r="C55" s="13"/>
      <c r="D55" s="4"/>
      <c r="E55" s="131"/>
      <c r="F55" s="2"/>
      <c r="G55" s="2"/>
      <c r="H55" s="2"/>
      <c r="I55" s="2"/>
      <c r="J55" s="2"/>
      <c r="K55" s="2"/>
      <c r="L55" s="108"/>
      <c r="M55" s="2"/>
      <c r="N55" s="2"/>
      <c r="O55" s="2"/>
      <c r="P55" s="2"/>
      <c r="Q55" s="2"/>
      <c r="R55" s="2"/>
      <c r="S55" s="2"/>
      <c r="T55" s="2"/>
      <c r="U55" s="2"/>
      <c r="V55" s="2"/>
    </row>
    <row r="56" spans="1:22" ht="15.75" customHeight="1" x14ac:dyDescent="0.3">
      <c r="A56" s="133"/>
      <c r="B56" s="13"/>
      <c r="C56" s="13"/>
      <c r="D56" s="4"/>
      <c r="E56" s="131"/>
      <c r="F56" s="2"/>
      <c r="G56" s="2"/>
      <c r="H56" s="2"/>
      <c r="I56" s="2"/>
      <c r="J56" s="2"/>
      <c r="K56" s="2"/>
      <c r="L56" s="108"/>
      <c r="M56" s="2"/>
      <c r="N56" s="2"/>
      <c r="O56" s="2"/>
      <c r="P56" s="2"/>
      <c r="Q56" s="2"/>
      <c r="R56" s="2"/>
      <c r="S56" s="2"/>
      <c r="T56" s="2"/>
      <c r="U56" s="2"/>
      <c r="V56" s="2"/>
    </row>
    <row r="57" spans="1:22" ht="15.75" customHeight="1" x14ac:dyDescent="0.3">
      <c r="A57" s="133"/>
      <c r="B57" s="13"/>
      <c r="C57" s="13"/>
      <c r="D57" s="4"/>
      <c r="E57" s="133"/>
      <c r="F57" s="2"/>
      <c r="G57" s="2"/>
      <c r="H57" s="2"/>
      <c r="I57" s="2"/>
      <c r="J57" s="2"/>
      <c r="K57" s="2"/>
      <c r="L57" s="108"/>
      <c r="M57" s="2"/>
      <c r="N57" s="2"/>
      <c r="O57" s="2"/>
      <c r="P57" s="2"/>
      <c r="Q57" s="2"/>
      <c r="R57" s="2"/>
      <c r="S57" s="2"/>
      <c r="T57" s="2"/>
      <c r="U57" s="2"/>
      <c r="V57" s="2"/>
    </row>
    <row r="58" spans="1:22" ht="15.75" customHeight="1" x14ac:dyDescent="0.3">
      <c r="A58" s="133"/>
      <c r="B58" s="13"/>
      <c r="C58" s="13"/>
      <c r="D58" s="4"/>
      <c r="E58" s="133"/>
      <c r="F58" s="2"/>
      <c r="G58" s="2"/>
      <c r="H58" s="2"/>
      <c r="I58" s="2"/>
      <c r="J58" s="2"/>
      <c r="K58" s="2"/>
      <c r="L58" s="108"/>
      <c r="M58" s="2"/>
      <c r="N58" s="2"/>
      <c r="O58" s="2"/>
      <c r="P58" s="2"/>
      <c r="Q58" s="2"/>
      <c r="R58" s="2"/>
      <c r="S58" s="2"/>
      <c r="T58" s="2"/>
      <c r="U58" s="2"/>
      <c r="V58" s="2"/>
    </row>
    <row r="59" spans="1:22" ht="15.75" customHeight="1" x14ac:dyDescent="0.3">
      <c r="A59" s="133"/>
      <c r="B59" s="13"/>
      <c r="C59" s="13"/>
      <c r="D59" s="4"/>
      <c r="E59" s="133"/>
      <c r="F59" s="2"/>
      <c r="G59" s="2"/>
      <c r="H59" s="2"/>
      <c r="I59" s="2"/>
      <c r="J59" s="2"/>
      <c r="K59" s="2"/>
      <c r="L59" s="108"/>
      <c r="M59" s="2"/>
      <c r="N59" s="2"/>
      <c r="O59" s="2"/>
      <c r="P59" s="2"/>
      <c r="Q59" s="2"/>
      <c r="R59" s="2"/>
      <c r="S59" s="2"/>
      <c r="T59" s="2"/>
      <c r="U59" s="2"/>
      <c r="V59" s="2"/>
    </row>
    <row r="60" spans="1:22" ht="15.75" customHeight="1" x14ac:dyDescent="0.25">
      <c r="A60" s="133"/>
      <c r="B60" s="133"/>
      <c r="C60" s="133"/>
      <c r="D60" s="133"/>
      <c r="E60" s="133"/>
      <c r="F60" s="133"/>
      <c r="G60" s="133"/>
      <c r="H60" s="133"/>
      <c r="I60" s="133"/>
      <c r="J60" s="133"/>
      <c r="K60" s="133"/>
      <c r="L60" s="142"/>
      <c r="M60" s="133"/>
      <c r="N60" s="133"/>
      <c r="O60" s="133"/>
      <c r="P60" s="133"/>
      <c r="Q60" s="133"/>
      <c r="R60" s="133"/>
      <c r="S60" s="133"/>
      <c r="T60" s="133"/>
      <c r="U60" s="133"/>
      <c r="V60" s="133"/>
    </row>
    <row r="61" spans="1:22" ht="15.75" customHeight="1" x14ac:dyDescent="0.25">
      <c r="A61" s="133"/>
      <c r="B61" s="133"/>
      <c r="C61" s="133"/>
      <c r="D61" s="133"/>
      <c r="E61" s="133"/>
      <c r="F61" s="133"/>
      <c r="G61" s="133"/>
      <c r="H61" s="133"/>
      <c r="I61" s="133"/>
      <c r="J61" s="133"/>
      <c r="K61" s="133"/>
      <c r="L61" s="142"/>
      <c r="M61" s="133"/>
      <c r="N61" s="133"/>
      <c r="O61" s="133"/>
      <c r="P61" s="133"/>
      <c r="Q61" s="133"/>
      <c r="R61" s="133"/>
      <c r="S61" s="133"/>
      <c r="T61" s="133"/>
      <c r="U61" s="133"/>
      <c r="V61" s="133"/>
    </row>
    <row r="62" spans="1:22" ht="15.75" customHeight="1" x14ac:dyDescent="0.25">
      <c r="A62" s="133"/>
      <c r="B62" s="133"/>
      <c r="C62" s="133"/>
      <c r="D62" s="133"/>
      <c r="E62" s="133"/>
      <c r="F62" s="133"/>
      <c r="G62" s="133"/>
      <c r="H62" s="133"/>
      <c r="I62" s="133"/>
      <c r="J62" s="133"/>
      <c r="K62" s="133"/>
      <c r="L62" s="142"/>
      <c r="M62" s="133"/>
      <c r="N62" s="133"/>
      <c r="O62" s="133"/>
      <c r="P62" s="133"/>
      <c r="Q62" s="133"/>
      <c r="R62" s="133"/>
      <c r="S62" s="133"/>
      <c r="T62" s="133"/>
      <c r="U62" s="133"/>
      <c r="V62" s="133"/>
    </row>
    <row r="63" spans="1:22" ht="15.75" customHeight="1" x14ac:dyDescent="0.25">
      <c r="A63" s="133"/>
      <c r="B63" s="133"/>
      <c r="C63" s="133"/>
      <c r="D63" s="133"/>
      <c r="E63" s="133"/>
      <c r="F63" s="133"/>
      <c r="G63" s="133"/>
      <c r="H63" s="133"/>
      <c r="I63" s="133"/>
      <c r="J63" s="133"/>
      <c r="K63" s="133"/>
      <c r="L63" s="142"/>
      <c r="M63" s="133"/>
      <c r="N63" s="133"/>
      <c r="O63" s="133"/>
      <c r="P63" s="133"/>
      <c r="Q63" s="133"/>
      <c r="R63" s="133"/>
      <c r="S63" s="133"/>
      <c r="T63" s="133"/>
      <c r="U63" s="133"/>
      <c r="V63" s="133"/>
    </row>
    <row r="64" spans="1:22" ht="15.75" customHeight="1" x14ac:dyDescent="0.25">
      <c r="A64" s="133"/>
      <c r="B64" s="133"/>
      <c r="C64" s="133"/>
      <c r="D64" s="133"/>
      <c r="E64" s="133"/>
      <c r="F64" s="133"/>
      <c r="G64" s="133"/>
      <c r="H64" s="133"/>
      <c r="I64" s="133"/>
      <c r="J64" s="133"/>
      <c r="K64" s="133"/>
      <c r="L64" s="142"/>
      <c r="M64" s="133"/>
      <c r="N64" s="133"/>
      <c r="O64" s="133"/>
      <c r="P64" s="133"/>
      <c r="Q64" s="133"/>
      <c r="R64" s="133"/>
      <c r="S64" s="133"/>
      <c r="T64" s="133"/>
      <c r="U64" s="133"/>
      <c r="V64" s="133"/>
    </row>
    <row r="65" spans="1:22" ht="15.75" customHeight="1" x14ac:dyDescent="0.25">
      <c r="A65" s="133"/>
      <c r="B65" s="133"/>
      <c r="C65" s="133"/>
      <c r="D65" s="133"/>
      <c r="E65" s="133"/>
      <c r="F65" s="133"/>
      <c r="G65" s="133"/>
      <c r="H65" s="133"/>
      <c r="I65" s="133"/>
      <c r="J65" s="133"/>
      <c r="K65" s="133"/>
      <c r="L65" s="142"/>
      <c r="M65" s="133"/>
      <c r="N65" s="133"/>
      <c r="O65" s="133"/>
      <c r="P65" s="133"/>
      <c r="Q65" s="133"/>
      <c r="R65" s="133"/>
      <c r="S65" s="133"/>
      <c r="T65" s="133"/>
      <c r="U65" s="133"/>
      <c r="V65" s="133"/>
    </row>
    <row r="66" spans="1:22" ht="15.75" customHeight="1" x14ac:dyDescent="0.25">
      <c r="A66" s="133"/>
      <c r="B66" s="133"/>
      <c r="C66" s="133"/>
      <c r="D66" s="133"/>
      <c r="E66" s="133"/>
      <c r="F66" s="133"/>
      <c r="G66" s="133"/>
      <c r="H66" s="133"/>
      <c r="I66" s="133"/>
      <c r="J66" s="133"/>
      <c r="K66" s="133"/>
      <c r="L66" s="142"/>
      <c r="M66" s="133"/>
      <c r="N66" s="133"/>
      <c r="O66" s="133"/>
      <c r="P66" s="133"/>
      <c r="Q66" s="133"/>
      <c r="R66" s="133"/>
      <c r="S66" s="133"/>
      <c r="T66" s="133"/>
      <c r="U66" s="133"/>
      <c r="V66" s="133"/>
    </row>
    <row r="67" spans="1:22" ht="15.75" customHeight="1" x14ac:dyDescent="0.25">
      <c r="A67" s="133"/>
      <c r="B67" s="133"/>
      <c r="C67" s="133"/>
      <c r="D67" s="133"/>
      <c r="E67" s="133"/>
      <c r="F67" s="133"/>
      <c r="G67" s="133"/>
      <c r="H67" s="133"/>
      <c r="I67" s="133"/>
      <c r="J67" s="133"/>
      <c r="K67" s="133"/>
      <c r="L67" s="142"/>
      <c r="M67" s="133"/>
      <c r="N67" s="133"/>
      <c r="O67" s="133"/>
      <c r="P67" s="133"/>
      <c r="Q67" s="133"/>
      <c r="R67" s="133"/>
      <c r="S67" s="133"/>
      <c r="T67" s="133"/>
      <c r="U67" s="133"/>
      <c r="V67" s="133"/>
    </row>
    <row r="68" spans="1:22" ht="15.75" customHeight="1" x14ac:dyDescent="0.25">
      <c r="A68" s="133"/>
      <c r="B68" s="133"/>
      <c r="C68" s="133"/>
      <c r="D68" s="133"/>
      <c r="E68" s="133"/>
      <c r="F68" s="133"/>
      <c r="G68" s="133"/>
      <c r="H68" s="133"/>
      <c r="I68" s="133"/>
      <c r="J68" s="133"/>
      <c r="K68" s="133"/>
      <c r="L68" s="142"/>
      <c r="M68" s="133"/>
      <c r="N68" s="133"/>
      <c r="O68" s="133"/>
      <c r="P68" s="133"/>
      <c r="Q68" s="133"/>
      <c r="R68" s="133"/>
      <c r="S68" s="133"/>
      <c r="T68" s="133"/>
      <c r="U68" s="133"/>
      <c r="V68" s="133"/>
    </row>
    <row r="69" spans="1:22" ht="15.75" customHeight="1" x14ac:dyDescent="0.25">
      <c r="A69" s="133"/>
      <c r="B69" s="133"/>
      <c r="C69" s="133"/>
      <c r="D69" s="133"/>
      <c r="E69" s="133"/>
      <c r="F69" s="133"/>
      <c r="G69" s="133"/>
      <c r="H69" s="133"/>
      <c r="I69" s="133"/>
      <c r="J69" s="133"/>
      <c r="K69" s="133"/>
      <c r="L69" s="142"/>
      <c r="M69" s="133"/>
      <c r="N69" s="133"/>
      <c r="O69" s="133"/>
      <c r="P69" s="133"/>
      <c r="Q69" s="133"/>
      <c r="R69" s="133"/>
      <c r="S69" s="133"/>
      <c r="T69" s="133"/>
      <c r="U69" s="133"/>
      <c r="V69" s="133"/>
    </row>
    <row r="70" spans="1:22" ht="15.75" customHeight="1" x14ac:dyDescent="0.25">
      <c r="A70" s="133"/>
      <c r="B70" s="133"/>
      <c r="C70" s="133"/>
      <c r="D70" s="133"/>
      <c r="E70" s="133"/>
      <c r="F70" s="133"/>
      <c r="G70" s="133"/>
      <c r="H70" s="133"/>
      <c r="I70" s="133"/>
      <c r="J70" s="133"/>
      <c r="K70" s="133"/>
      <c r="L70" s="142"/>
      <c r="M70" s="133"/>
      <c r="N70" s="133"/>
      <c r="O70" s="133"/>
      <c r="P70" s="133"/>
      <c r="Q70" s="133"/>
      <c r="R70" s="133"/>
      <c r="S70" s="133"/>
      <c r="T70" s="133"/>
      <c r="U70" s="133"/>
      <c r="V70" s="133"/>
    </row>
    <row r="71" spans="1:22" ht="15.75" customHeight="1" x14ac:dyDescent="0.2"/>
    <row r="72" spans="1:22" ht="15.75" customHeight="1" x14ac:dyDescent="0.2"/>
    <row r="73" spans="1:22" ht="15.75" customHeight="1" x14ac:dyDescent="0.2"/>
    <row r="74" spans="1:22" ht="15.75" customHeight="1" x14ac:dyDescent="0.2"/>
    <row r="75" spans="1:22" ht="15.75" customHeight="1" x14ac:dyDescent="0.2"/>
    <row r="76" spans="1:22" ht="15.75" customHeight="1" x14ac:dyDescent="0.2"/>
    <row r="77" spans="1:22" ht="15.75" customHeight="1" x14ac:dyDescent="0.2"/>
    <row r="78" spans="1:22" ht="15.75" customHeight="1" x14ac:dyDescent="0.2"/>
    <row r="79" spans="1:22" ht="15.75" customHeight="1" x14ac:dyDescent="0.2"/>
    <row r="80" spans="1:22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</sheetData>
  <sheetProtection algorithmName="SHA-512" hashValue="wYUMbNVDzWSbJqb08Y2I9dPcAX/PDGlneHztxgpMcu3oql47PYVZ2/rK5s+CgS4Pvnco/d51FdGo4wDxCRVlbg==" saltValue="F8AWak9RNFuOwzVjNOj/mg==" spinCount="100000" sheet="1" formatCells="0" formatColumns="0" formatRows="0" insertColumns="0" insertRows="0" insertHyperlinks="0" deleteColumns="0" deleteRows="0" sort="0" autoFilter="0" pivotTables="0"/>
  <mergeCells count="10">
    <mergeCell ref="B23:D23"/>
    <mergeCell ref="B30:D30"/>
    <mergeCell ref="F18:J18"/>
    <mergeCell ref="B25:D25"/>
    <mergeCell ref="B18:D18"/>
    <mergeCell ref="A7:V7"/>
    <mergeCell ref="B11:E11"/>
    <mergeCell ref="B12:E12"/>
    <mergeCell ref="B13:E13"/>
    <mergeCell ref="B16:D16"/>
  </mergeCells>
  <conditionalFormatting sqref="B13:E13">
    <cfRule type="containsText" dxfId="14" priority="1" operator="containsText" text="INFORME ACIMA A CHAVE DA NOTA FISCAL">
      <formula>NOT(ISERROR(SEARCH("INFORME ACIMA A CHAVE DA NOTA FISCAL",B13)))</formula>
    </cfRule>
  </conditionalFormatting>
  <printOptions horizontalCentered="1" verticalCentered="1"/>
  <pageMargins left="0.59055118110236227" right="0.59055118110236227" top="0.59055118110236227" bottom="0.59055118110236227" header="0" footer="0"/>
  <pageSetup paperSize="9" scale="72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2"/>
  <dimension ref="A1:Z908"/>
  <sheetViews>
    <sheetView zoomScale="85" zoomScaleNormal="85" workbookViewId="0">
      <selection activeCell="F16" sqref="F16"/>
    </sheetView>
  </sheetViews>
  <sheetFormatPr defaultColWidth="12.625" defaultRowHeight="15" customHeight="1" x14ac:dyDescent="0.2"/>
  <cols>
    <col min="1" max="1" width="2.75" customWidth="1"/>
    <col min="2" max="2" width="15.5" customWidth="1"/>
    <col min="3" max="3" width="11.125" customWidth="1"/>
    <col min="4" max="4" width="15.25" customWidth="1"/>
    <col min="5" max="5" width="5" customWidth="1"/>
    <col min="6" max="7" width="18.75" customWidth="1"/>
    <col min="8" max="8" width="17.5" customWidth="1"/>
    <col min="9" max="9" width="5" customWidth="1"/>
    <col min="10" max="12" width="15" customWidth="1"/>
    <col min="13" max="13" width="5" customWidth="1"/>
    <col min="14" max="16" width="15" customWidth="1"/>
    <col min="17" max="17" width="5" customWidth="1"/>
    <col min="18" max="20" width="16.25" customWidth="1"/>
    <col min="21" max="21" width="5" customWidth="1"/>
    <col min="22" max="26" width="7.625" customWidth="1"/>
  </cols>
  <sheetData>
    <row r="1" spans="1:26" ht="4.5" customHeight="1" x14ac:dyDescent="0.3">
      <c r="A1" s="4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1"/>
      <c r="V1" s="1"/>
      <c r="W1" s="1"/>
      <c r="X1" s="1"/>
      <c r="Y1" s="1"/>
      <c r="Z1" s="1"/>
    </row>
    <row r="2" spans="1:26" ht="16.5" x14ac:dyDescent="0.3">
      <c r="A2" s="5"/>
      <c r="B2" s="5"/>
      <c r="C2" s="5"/>
      <c r="D2" s="6"/>
      <c r="E2" s="6" t="s">
        <v>99</v>
      </c>
      <c r="F2" s="5"/>
      <c r="G2" s="11"/>
      <c r="H2" s="11"/>
      <c r="I2" s="11"/>
      <c r="J2" s="87"/>
      <c r="K2" s="5"/>
      <c r="L2" s="5"/>
      <c r="M2" s="5"/>
      <c r="N2" s="5"/>
      <c r="O2" s="4"/>
      <c r="P2" s="4"/>
      <c r="Q2" s="4"/>
      <c r="R2" s="4"/>
      <c r="S2" s="4"/>
      <c r="T2" s="4"/>
      <c r="U2" s="2"/>
      <c r="V2" s="2"/>
      <c r="W2" s="2"/>
      <c r="X2" s="2"/>
      <c r="Y2" s="2"/>
      <c r="Z2" s="2"/>
    </row>
    <row r="3" spans="1:26" ht="16.5" x14ac:dyDescent="0.3">
      <c r="A3" s="5"/>
      <c r="B3" s="5"/>
      <c r="C3" s="5"/>
      <c r="D3" s="6"/>
      <c r="E3" s="6" t="s">
        <v>100</v>
      </c>
      <c r="F3" s="5"/>
      <c r="G3" s="5"/>
      <c r="H3" s="7"/>
      <c r="I3" s="8"/>
      <c r="J3" s="8"/>
      <c r="K3" s="9"/>
      <c r="L3" s="8"/>
      <c r="M3" s="8"/>
      <c r="N3" s="10"/>
      <c r="O3" s="4"/>
      <c r="P3" s="4"/>
      <c r="Q3" s="4"/>
      <c r="R3" s="4"/>
      <c r="S3" s="4"/>
      <c r="T3" s="4"/>
      <c r="U3" s="2"/>
      <c r="V3" s="2"/>
      <c r="W3" s="2"/>
      <c r="X3" s="2"/>
      <c r="Y3" s="2"/>
      <c r="Z3" s="2"/>
    </row>
    <row r="4" spans="1:26" ht="16.5" x14ac:dyDescent="0.3">
      <c r="A4" s="5"/>
      <c r="B4" s="5"/>
      <c r="C4" s="5"/>
      <c r="D4" s="6"/>
      <c r="E4" s="6" t="s">
        <v>101</v>
      </c>
      <c r="F4" s="5"/>
      <c r="G4" s="5"/>
      <c r="H4" s="11"/>
      <c r="I4" s="8"/>
      <c r="J4" s="8"/>
      <c r="K4" s="9"/>
      <c r="L4" s="8"/>
      <c r="M4" s="8"/>
      <c r="N4" s="10"/>
      <c r="O4" s="4"/>
      <c r="P4" s="7"/>
      <c r="Q4" s="4"/>
      <c r="R4" s="4"/>
      <c r="S4" s="4"/>
      <c r="T4" s="7"/>
      <c r="U4" s="1"/>
      <c r="V4" s="1"/>
      <c r="W4" s="1"/>
      <c r="X4" s="1"/>
      <c r="Y4" s="1"/>
      <c r="Z4" s="1"/>
    </row>
    <row r="5" spans="1:26" ht="4.5" customHeight="1" x14ac:dyDescent="0.3">
      <c r="A5" s="12"/>
      <c r="B5" s="12"/>
      <c r="C5" s="12"/>
      <c r="D5" s="12"/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  <c r="P5" s="12"/>
      <c r="Q5" s="4"/>
      <c r="R5" s="4"/>
      <c r="S5" s="4"/>
      <c r="T5" s="4"/>
      <c r="U5" s="2"/>
      <c r="V5" s="2"/>
      <c r="W5" s="2"/>
      <c r="X5" s="2"/>
      <c r="Y5" s="2"/>
      <c r="Z5" s="2"/>
    </row>
    <row r="6" spans="1:26" ht="7.5" customHeight="1" x14ac:dyDescent="0.2">
      <c r="A6" s="88"/>
      <c r="B6" s="88"/>
      <c r="C6" s="88"/>
      <c r="D6" s="88"/>
      <c r="E6" s="88"/>
      <c r="F6" s="88"/>
      <c r="G6" s="88"/>
      <c r="H6" s="88"/>
      <c r="I6" s="88"/>
      <c r="J6" s="88"/>
      <c r="K6" s="88"/>
      <c r="L6" s="88"/>
      <c r="M6" s="88"/>
      <c r="N6" s="88"/>
      <c r="O6" s="88"/>
      <c r="P6" s="88"/>
      <c r="Q6" s="88"/>
      <c r="R6" s="88"/>
      <c r="S6" s="88"/>
      <c r="T6" s="88"/>
      <c r="U6" s="88"/>
      <c r="V6" s="88"/>
      <c r="W6" s="88"/>
      <c r="X6" s="88"/>
      <c r="Y6" s="88"/>
      <c r="Z6" s="88"/>
    </row>
    <row r="7" spans="1:26" ht="28.5" customHeight="1" x14ac:dyDescent="0.25">
      <c r="A7" s="143" t="s">
        <v>62</v>
      </c>
      <c r="B7" s="143"/>
      <c r="C7" s="143"/>
      <c r="D7" s="143"/>
      <c r="E7" s="143"/>
      <c r="F7" s="143"/>
      <c r="G7" s="143"/>
      <c r="H7" s="143"/>
      <c r="I7" s="143"/>
      <c r="J7" s="143"/>
      <c r="K7" s="143"/>
      <c r="L7" s="143"/>
      <c r="M7" s="143"/>
      <c r="N7" s="143"/>
      <c r="O7" s="143"/>
      <c r="P7" s="143"/>
      <c r="Q7" s="143"/>
      <c r="R7" s="143"/>
      <c r="S7" s="143"/>
      <c r="T7" s="143"/>
      <c r="U7" s="2"/>
      <c r="V7" s="2"/>
      <c r="W7" s="2"/>
      <c r="X7" s="2"/>
      <c r="Y7" s="2"/>
      <c r="Z7" s="2"/>
    </row>
    <row r="8" spans="1:26" ht="7.5" customHeight="1" x14ac:dyDescent="0.2">
      <c r="A8" s="88"/>
      <c r="B8" s="88"/>
      <c r="C8" s="88"/>
      <c r="D8" s="88"/>
      <c r="E8" s="88"/>
      <c r="F8" s="88"/>
      <c r="G8" s="88"/>
      <c r="H8" s="88"/>
      <c r="I8" s="88"/>
      <c r="J8" s="88"/>
      <c r="K8" s="88"/>
      <c r="L8" s="88"/>
      <c r="M8" s="88"/>
      <c r="N8" s="88"/>
      <c r="O8" s="88"/>
      <c r="P8" s="88"/>
      <c r="Q8" s="88"/>
      <c r="R8" s="88"/>
      <c r="S8" s="88"/>
      <c r="T8" s="88"/>
      <c r="U8" s="88"/>
      <c r="V8" s="88"/>
      <c r="W8" s="88"/>
      <c r="X8" s="88"/>
      <c r="Y8" s="88"/>
      <c r="Z8" s="88"/>
    </row>
    <row r="9" spans="1:26" ht="12.75" customHeight="1" x14ac:dyDescent="0.3">
      <c r="A9" s="4"/>
      <c r="B9" s="4"/>
      <c r="C9" s="4"/>
      <c r="D9" s="4"/>
      <c r="E9" s="7"/>
      <c r="F9" s="4"/>
      <c r="G9" s="4"/>
      <c r="H9" s="4"/>
      <c r="I9" s="13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2"/>
      <c r="V9" s="2"/>
      <c r="W9" s="2"/>
      <c r="X9" s="2"/>
      <c r="Y9" s="2"/>
      <c r="Z9" s="2"/>
    </row>
    <row r="10" spans="1:26" ht="16.5" x14ac:dyDescent="0.3">
      <c r="A10" s="4"/>
      <c r="B10" s="186"/>
      <c r="C10" s="187"/>
      <c r="D10" s="188"/>
      <c r="E10" s="13"/>
      <c r="F10" s="186"/>
      <c r="G10" s="187"/>
      <c r="H10" s="188"/>
      <c r="I10" s="13"/>
      <c r="J10" s="162"/>
      <c r="K10" s="163"/>
      <c r="L10" s="164"/>
      <c r="M10" s="13"/>
      <c r="N10" s="186"/>
      <c r="O10" s="187"/>
      <c r="P10" s="188"/>
      <c r="Q10" s="13"/>
      <c r="R10" s="186"/>
      <c r="S10" s="187"/>
      <c r="T10" s="188"/>
      <c r="U10" s="2"/>
      <c r="V10" s="2"/>
      <c r="W10" s="2"/>
      <c r="X10" s="2"/>
      <c r="Y10" s="2"/>
      <c r="Z10" s="2"/>
    </row>
    <row r="11" spans="1:26" ht="28.5" customHeight="1" x14ac:dyDescent="0.3">
      <c r="A11" s="4"/>
      <c r="B11" s="194" t="s">
        <v>0</v>
      </c>
      <c r="C11" s="195"/>
      <c r="D11" s="196"/>
      <c r="E11" s="13"/>
      <c r="F11" s="149" t="s">
        <v>1</v>
      </c>
      <c r="G11" s="150"/>
      <c r="H11" s="151"/>
      <c r="I11" s="13"/>
      <c r="J11" s="149" t="s">
        <v>2</v>
      </c>
      <c r="K11" s="150"/>
      <c r="L11" s="151"/>
      <c r="M11" s="13"/>
      <c r="N11" s="149" t="s">
        <v>3</v>
      </c>
      <c r="O11" s="150"/>
      <c r="P11" s="151"/>
      <c r="Q11" s="13"/>
      <c r="R11" s="159" t="s">
        <v>4</v>
      </c>
      <c r="S11" s="160"/>
      <c r="T11" s="161"/>
      <c r="U11" s="2"/>
      <c r="V11" s="2"/>
      <c r="W11" s="2"/>
      <c r="X11" s="2"/>
      <c r="Y11" s="2"/>
      <c r="Z11" s="2"/>
    </row>
    <row r="12" spans="1:26" ht="16.5" x14ac:dyDescent="0.3">
      <c r="A12" s="4"/>
      <c r="B12" s="190"/>
      <c r="C12" s="191"/>
      <c r="D12" s="192"/>
      <c r="E12" s="13"/>
      <c r="F12" s="193"/>
      <c r="G12" s="191"/>
      <c r="H12" s="192"/>
      <c r="I12" s="13"/>
      <c r="J12" s="156"/>
      <c r="K12" s="157"/>
      <c r="L12" s="158"/>
      <c r="M12" s="13"/>
      <c r="N12" s="189"/>
      <c r="O12" s="178"/>
      <c r="P12" s="179"/>
      <c r="Q12" s="13"/>
      <c r="R12" s="189"/>
      <c r="S12" s="178"/>
      <c r="T12" s="179"/>
      <c r="U12" s="2"/>
      <c r="V12" s="2"/>
      <c r="W12" s="2"/>
      <c r="X12" s="2"/>
      <c r="Y12" s="2"/>
      <c r="Z12" s="2"/>
    </row>
    <row r="13" spans="1:26" ht="16.5" x14ac:dyDescent="0.3">
      <c r="A13" s="4"/>
      <c r="B13" s="184" t="s">
        <v>5</v>
      </c>
      <c r="C13" s="166"/>
      <c r="D13" s="14">
        <v>0</v>
      </c>
      <c r="E13" s="13"/>
      <c r="F13" s="153" t="s">
        <v>6</v>
      </c>
      <c r="G13" s="197"/>
      <c r="H13" s="166"/>
      <c r="I13" s="13"/>
      <c r="J13" s="153" t="s">
        <v>7</v>
      </c>
      <c r="K13" s="197"/>
      <c r="L13" s="166"/>
      <c r="M13" s="13"/>
      <c r="N13" s="153" t="s">
        <v>7</v>
      </c>
      <c r="O13" s="197"/>
      <c r="P13" s="166"/>
      <c r="Q13" s="13"/>
      <c r="R13" s="153" t="s">
        <v>8</v>
      </c>
      <c r="S13" s="197"/>
      <c r="T13" s="166"/>
      <c r="U13" s="2"/>
      <c r="V13" s="2"/>
      <c r="W13" s="2"/>
      <c r="X13" s="2"/>
      <c r="Y13" s="2"/>
      <c r="Z13" s="2"/>
    </row>
    <row r="14" spans="1:26" ht="16.5" x14ac:dyDescent="0.3">
      <c r="A14" s="4"/>
      <c r="B14" s="16" t="s">
        <v>9</v>
      </c>
      <c r="C14" s="17">
        <f>H15</f>
        <v>0</v>
      </c>
      <c r="D14" s="18">
        <f>SUM(D13+(D13*C14))</f>
        <v>0</v>
      </c>
      <c r="E14" s="13"/>
      <c r="F14" s="19" t="s">
        <v>10</v>
      </c>
      <c r="G14" s="19" t="s">
        <v>11</v>
      </c>
      <c r="H14" s="20" t="s">
        <v>12</v>
      </c>
      <c r="I14" s="13"/>
      <c r="J14" s="16" t="s">
        <v>13</v>
      </c>
      <c r="K14" s="16" t="s">
        <v>14</v>
      </c>
      <c r="L14" s="21" t="s">
        <v>15</v>
      </c>
      <c r="M14" s="13"/>
      <c r="N14" s="19" t="s">
        <v>13</v>
      </c>
      <c r="O14" s="19" t="s">
        <v>16</v>
      </c>
      <c r="P14" s="21" t="s">
        <v>15</v>
      </c>
      <c r="Q14" s="13"/>
      <c r="R14" s="22" t="s">
        <v>17</v>
      </c>
      <c r="S14" s="23" t="s">
        <v>18</v>
      </c>
      <c r="T14" s="24" t="s">
        <v>19</v>
      </c>
      <c r="U14" s="2"/>
      <c r="V14" s="2"/>
      <c r="W14" s="2"/>
      <c r="X14" s="2"/>
      <c r="Y14" s="2"/>
      <c r="Z14" s="2"/>
    </row>
    <row r="15" spans="1:26" ht="16.5" x14ac:dyDescent="0.3">
      <c r="A15" s="4"/>
      <c r="B15" s="16" t="s">
        <v>20</v>
      </c>
      <c r="C15" s="17">
        <f>H23</f>
        <v>0</v>
      </c>
      <c r="D15" s="18">
        <f t="shared" ref="D15:D18" si="0">SUM(D14+(D14*C15))</f>
        <v>0</v>
      </c>
      <c r="E15" s="13"/>
      <c r="F15" s="25">
        <v>1</v>
      </c>
      <c r="G15" s="25">
        <v>0</v>
      </c>
      <c r="H15" s="26">
        <f>G15/F15</f>
        <v>0</v>
      </c>
      <c r="I15" s="13"/>
      <c r="J15" s="27">
        <f>D29</f>
        <v>0</v>
      </c>
      <c r="K15" s="27">
        <f>D36</f>
        <v>0</v>
      </c>
      <c r="L15" s="28">
        <f>K15-J15</f>
        <v>0</v>
      </c>
      <c r="M15" s="13"/>
      <c r="N15" s="25">
        <v>0</v>
      </c>
      <c r="O15" s="25">
        <v>0</v>
      </c>
      <c r="P15" s="29">
        <f>O15-N15</f>
        <v>0</v>
      </c>
      <c r="Q15" s="13"/>
      <c r="R15" s="25">
        <v>0</v>
      </c>
      <c r="S15" s="30">
        <v>0</v>
      </c>
      <c r="T15" s="31">
        <f>SUM(R15+(R15*S15))</f>
        <v>0</v>
      </c>
      <c r="U15" s="2"/>
      <c r="V15" s="2"/>
      <c r="W15" s="2"/>
      <c r="X15" s="2"/>
      <c r="Y15" s="2"/>
      <c r="Z15" s="2"/>
    </row>
    <row r="16" spans="1:26" ht="16.5" x14ac:dyDescent="0.3">
      <c r="A16" s="4"/>
      <c r="B16" s="32" t="s">
        <v>21</v>
      </c>
      <c r="C16" s="33">
        <v>0</v>
      </c>
      <c r="D16" s="18">
        <f t="shared" si="0"/>
        <v>0</v>
      </c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34" t="str">
        <f>IF(T15&lt;R15,"FALSO"," OK")</f>
        <v xml:space="preserve"> OK</v>
      </c>
      <c r="S16" s="35" t="s">
        <v>22</v>
      </c>
      <c r="T16" s="36">
        <f>T15-R15</f>
        <v>0</v>
      </c>
      <c r="U16" s="2"/>
      <c r="V16" s="2"/>
      <c r="W16" s="2"/>
      <c r="X16" s="2"/>
      <c r="Y16" s="2"/>
      <c r="Z16" s="2"/>
    </row>
    <row r="17" spans="1:26" ht="16.5" x14ac:dyDescent="0.3">
      <c r="A17" s="4"/>
      <c r="B17" s="32" t="s">
        <v>23</v>
      </c>
      <c r="C17" s="33">
        <v>0</v>
      </c>
      <c r="D17" s="18">
        <f t="shared" si="0"/>
        <v>0</v>
      </c>
      <c r="E17" s="13"/>
      <c r="F17" s="162"/>
      <c r="G17" s="163"/>
      <c r="H17" s="164"/>
      <c r="I17" s="13"/>
      <c r="J17" s="207"/>
      <c r="K17" s="208"/>
      <c r="L17" s="209"/>
      <c r="M17" s="13"/>
      <c r="N17" s="186"/>
      <c r="O17" s="187"/>
      <c r="P17" s="188"/>
      <c r="Q17" s="13"/>
      <c r="R17" s="153" t="s">
        <v>24</v>
      </c>
      <c r="S17" s="197"/>
      <c r="T17" s="166"/>
      <c r="U17" s="2"/>
      <c r="V17" s="2"/>
      <c r="W17" s="2"/>
      <c r="X17" s="2"/>
      <c r="Y17" s="2"/>
      <c r="Z17" s="2"/>
    </row>
    <row r="18" spans="1:26" ht="15" customHeight="1" x14ac:dyDescent="0.3">
      <c r="A18" s="4"/>
      <c r="B18" s="32" t="s">
        <v>25</v>
      </c>
      <c r="C18" s="33">
        <v>0</v>
      </c>
      <c r="D18" s="18">
        <f t="shared" si="0"/>
        <v>0</v>
      </c>
      <c r="E18" s="13"/>
      <c r="F18" s="198" t="s">
        <v>26</v>
      </c>
      <c r="G18" s="199"/>
      <c r="H18" s="200"/>
      <c r="I18" s="13"/>
      <c r="J18" s="210" t="s">
        <v>43</v>
      </c>
      <c r="K18" s="211"/>
      <c r="L18" s="181"/>
      <c r="M18" s="13"/>
      <c r="N18" s="203" t="s">
        <v>27</v>
      </c>
      <c r="O18" s="199"/>
      <c r="P18" s="200"/>
      <c r="Q18" s="13"/>
      <c r="R18" s="22" t="s">
        <v>17</v>
      </c>
      <c r="S18" s="23" t="s">
        <v>28</v>
      </c>
      <c r="T18" s="24" t="s">
        <v>19</v>
      </c>
      <c r="U18" s="2"/>
      <c r="V18" s="2"/>
      <c r="W18" s="2"/>
      <c r="X18" s="2"/>
      <c r="Y18" s="2"/>
      <c r="Z18" s="2"/>
    </row>
    <row r="19" spans="1:26" ht="15" customHeight="1" x14ac:dyDescent="0.3">
      <c r="A19" s="4"/>
      <c r="B19" s="37" t="s">
        <v>29</v>
      </c>
      <c r="C19" s="38">
        <f>SUM(C14:C18)</f>
        <v>0</v>
      </c>
      <c r="D19" s="39">
        <f>D18-D13</f>
        <v>0</v>
      </c>
      <c r="E19" s="13"/>
      <c r="F19" s="201"/>
      <c r="G19" s="168"/>
      <c r="H19" s="202"/>
      <c r="I19" s="13"/>
      <c r="J19" s="212"/>
      <c r="K19" s="213"/>
      <c r="L19" s="214"/>
      <c r="M19" s="13"/>
      <c r="N19" s="201"/>
      <c r="O19" s="168"/>
      <c r="P19" s="202"/>
      <c r="Q19" s="13"/>
      <c r="R19" s="25">
        <v>1</v>
      </c>
      <c r="S19" s="30">
        <v>0</v>
      </c>
      <c r="T19" s="31">
        <f>SUM(R19-(R19*S19))</f>
        <v>1</v>
      </c>
      <c r="U19" s="2"/>
      <c r="V19" s="2"/>
      <c r="W19" s="2"/>
      <c r="X19" s="2"/>
      <c r="Y19" s="2"/>
      <c r="Z19" s="2"/>
    </row>
    <row r="20" spans="1:26" ht="15.75" customHeight="1" x14ac:dyDescent="0.3">
      <c r="A20" s="4"/>
      <c r="B20" s="153" t="s">
        <v>30</v>
      </c>
      <c r="C20" s="166"/>
      <c r="D20" s="40">
        <f>D18</f>
        <v>0</v>
      </c>
      <c r="E20" s="13"/>
      <c r="F20" s="156"/>
      <c r="G20" s="157"/>
      <c r="H20" s="158"/>
      <c r="I20" s="13"/>
      <c r="J20" s="171"/>
      <c r="K20" s="204"/>
      <c r="L20" s="205"/>
      <c r="M20" s="13"/>
      <c r="N20" s="177"/>
      <c r="O20" s="178"/>
      <c r="P20" s="179"/>
      <c r="Q20" s="13"/>
      <c r="R20" s="34" t="str">
        <f>IF(T19&gt;R19,"FALSO"," OK")</f>
        <v xml:space="preserve"> OK</v>
      </c>
      <c r="S20" s="35" t="s">
        <v>22</v>
      </c>
      <c r="T20" s="28">
        <f>T19-R19</f>
        <v>0</v>
      </c>
      <c r="U20" s="2"/>
      <c r="V20" s="2"/>
      <c r="W20" s="2"/>
      <c r="X20" s="2"/>
      <c r="Y20" s="2"/>
      <c r="Z20" s="2"/>
    </row>
    <row r="21" spans="1:26" ht="15.75" customHeight="1" x14ac:dyDescent="0.3">
      <c r="A21" s="4"/>
      <c r="B21" s="165" t="str">
        <f>IF(G23&gt;0,"PROD. POSSUI %CT","PROD. NÃO TEM %CT")</f>
        <v>PROD. NÃO TEM %CT</v>
      </c>
      <c r="C21" s="197"/>
      <c r="D21" s="166"/>
      <c r="E21" s="13"/>
      <c r="F21" s="153" t="s">
        <v>31</v>
      </c>
      <c r="G21" s="197"/>
      <c r="H21" s="166"/>
      <c r="I21" s="13"/>
      <c r="J21" s="219" t="s">
        <v>51</v>
      </c>
      <c r="K21" s="166"/>
      <c r="L21" s="41">
        <f>D39</f>
        <v>0</v>
      </c>
      <c r="M21" s="13"/>
      <c r="N21" s="184" t="s">
        <v>32</v>
      </c>
      <c r="O21" s="166"/>
      <c r="P21" s="14">
        <f>O15</f>
        <v>0</v>
      </c>
      <c r="Q21" s="13"/>
      <c r="R21" s="13"/>
      <c r="S21" s="13"/>
      <c r="T21" s="13"/>
      <c r="U21" s="2"/>
      <c r="V21" s="2"/>
      <c r="W21" s="2"/>
      <c r="X21" s="2"/>
      <c r="Y21" s="2"/>
      <c r="Z21" s="2"/>
    </row>
    <row r="22" spans="1:26" ht="15" customHeight="1" x14ac:dyDescent="0.3">
      <c r="A22" s="4"/>
      <c r="B22" s="215"/>
      <c r="C22" s="187"/>
      <c r="D22" s="188"/>
      <c r="E22" s="13"/>
      <c r="F22" s="19" t="s">
        <v>33</v>
      </c>
      <c r="G22" s="19" t="s">
        <v>34</v>
      </c>
      <c r="H22" s="20" t="s">
        <v>35</v>
      </c>
      <c r="I22" s="13"/>
      <c r="J22" s="42" t="s">
        <v>36</v>
      </c>
      <c r="K22" s="43">
        <v>0.05</v>
      </c>
      <c r="L22" s="44">
        <f t="shared" ref="L22:L26" si="1">SUM(L21-(L21*K22))</f>
        <v>0</v>
      </c>
      <c r="M22" s="13"/>
      <c r="N22" s="42" t="s">
        <v>36</v>
      </c>
      <c r="O22" s="43">
        <v>0.1</v>
      </c>
      <c r="P22" s="44">
        <f t="shared" ref="P22:P26" si="2">SUM(P21-(P21*O22))</f>
        <v>0</v>
      </c>
      <c r="Q22" s="13"/>
      <c r="R22" s="162"/>
      <c r="S22" s="163"/>
      <c r="T22" s="164"/>
      <c r="U22" s="2"/>
      <c r="V22" s="2"/>
      <c r="W22" s="2"/>
      <c r="X22" s="2"/>
      <c r="Y22" s="2"/>
      <c r="Z22" s="2"/>
    </row>
    <row r="23" spans="1:26" ht="15" customHeight="1" x14ac:dyDescent="0.3">
      <c r="A23" s="4"/>
      <c r="B23" s="216" t="s">
        <v>71</v>
      </c>
      <c r="C23" s="217"/>
      <c r="D23" s="218"/>
      <c r="E23" s="13"/>
      <c r="F23" s="45">
        <v>1</v>
      </c>
      <c r="G23" s="25">
        <v>0</v>
      </c>
      <c r="H23" s="26">
        <f>G23/F23</f>
        <v>0</v>
      </c>
      <c r="I23" s="13"/>
      <c r="J23" s="42" t="s">
        <v>37</v>
      </c>
      <c r="K23" s="43">
        <v>0.05</v>
      </c>
      <c r="L23" s="44">
        <f t="shared" si="1"/>
        <v>0</v>
      </c>
      <c r="M23" s="13"/>
      <c r="N23" s="42" t="s">
        <v>37</v>
      </c>
      <c r="O23" s="43">
        <v>4.7500000000000001E-2</v>
      </c>
      <c r="P23" s="44">
        <f t="shared" si="2"/>
        <v>0</v>
      </c>
      <c r="Q23" s="13"/>
      <c r="R23" s="203" t="s">
        <v>38</v>
      </c>
      <c r="S23" s="199"/>
      <c r="T23" s="200"/>
      <c r="U23" s="2"/>
      <c r="V23" s="2"/>
      <c r="W23" s="2"/>
      <c r="X23" s="2"/>
      <c r="Y23" s="2"/>
      <c r="Z23" s="2"/>
    </row>
    <row r="24" spans="1:26" ht="15" customHeight="1" x14ac:dyDescent="0.3">
      <c r="A24" s="4"/>
      <c r="B24" s="177"/>
      <c r="C24" s="178"/>
      <c r="D24" s="179"/>
      <c r="E24" s="13"/>
      <c r="F24" s="13"/>
      <c r="G24" s="13"/>
      <c r="H24" s="13"/>
      <c r="I24" s="13"/>
      <c r="J24" s="42" t="s">
        <v>39</v>
      </c>
      <c r="K24" s="43">
        <v>1.4999999999999999E-2</v>
      </c>
      <c r="L24" s="44">
        <f t="shared" si="1"/>
        <v>0</v>
      </c>
      <c r="M24" s="13"/>
      <c r="N24" s="42" t="s">
        <v>39</v>
      </c>
      <c r="O24" s="43">
        <v>1.4999999999999999E-2</v>
      </c>
      <c r="P24" s="44">
        <f t="shared" si="2"/>
        <v>0</v>
      </c>
      <c r="Q24" s="13"/>
      <c r="R24" s="201"/>
      <c r="S24" s="168"/>
      <c r="T24" s="202"/>
      <c r="U24" s="2"/>
      <c r="V24" s="2"/>
      <c r="W24" s="2"/>
      <c r="X24" s="2"/>
      <c r="Y24" s="2"/>
      <c r="Z24" s="2"/>
    </row>
    <row r="25" spans="1:26" ht="15" customHeight="1" x14ac:dyDescent="0.3">
      <c r="A25" s="4"/>
      <c r="B25" s="19" t="s">
        <v>40</v>
      </c>
      <c r="C25" s="25">
        <v>0</v>
      </c>
      <c r="D25" s="27">
        <f>SUM(D20+C25)</f>
        <v>0</v>
      </c>
      <c r="E25" s="13"/>
      <c r="F25" s="162"/>
      <c r="G25" s="163"/>
      <c r="H25" s="164"/>
      <c r="I25" s="13"/>
      <c r="J25" s="32" t="s">
        <v>41</v>
      </c>
      <c r="K25" s="33">
        <v>0.05</v>
      </c>
      <c r="L25" s="46">
        <f t="shared" si="1"/>
        <v>0</v>
      </c>
      <c r="M25" s="13"/>
      <c r="N25" s="32" t="s">
        <v>41</v>
      </c>
      <c r="O25" s="33">
        <v>0</v>
      </c>
      <c r="P25" s="46">
        <f t="shared" si="2"/>
        <v>0</v>
      </c>
      <c r="Q25" s="13"/>
      <c r="R25" s="156"/>
      <c r="S25" s="157"/>
      <c r="T25" s="158"/>
      <c r="U25" s="2"/>
      <c r="V25" s="2"/>
      <c r="W25" s="2"/>
      <c r="X25" s="2"/>
      <c r="Y25" s="2"/>
      <c r="Z25" s="2"/>
    </row>
    <row r="26" spans="1:26" ht="15" customHeight="1" x14ac:dyDescent="0.3">
      <c r="A26" s="4"/>
      <c r="B26" s="19" t="s">
        <v>42</v>
      </c>
      <c r="C26" s="25">
        <v>0</v>
      </c>
      <c r="D26" s="13"/>
      <c r="E26" s="13"/>
      <c r="F26" s="159" t="s">
        <v>69</v>
      </c>
      <c r="G26" s="160"/>
      <c r="H26" s="161"/>
      <c r="I26" s="13"/>
      <c r="J26" s="32" t="s">
        <v>44</v>
      </c>
      <c r="K26" s="33">
        <v>0</v>
      </c>
      <c r="L26" s="46">
        <f t="shared" si="1"/>
        <v>0</v>
      </c>
      <c r="M26" s="13"/>
      <c r="N26" s="32" t="s">
        <v>44</v>
      </c>
      <c r="O26" s="33">
        <v>0</v>
      </c>
      <c r="P26" s="46">
        <f t="shared" si="2"/>
        <v>0</v>
      </c>
      <c r="Q26" s="13"/>
      <c r="R26" s="19" t="s">
        <v>17</v>
      </c>
      <c r="S26" s="19" t="s">
        <v>19</v>
      </c>
      <c r="T26" s="16" t="s">
        <v>45</v>
      </c>
      <c r="U26" s="2"/>
      <c r="V26" s="2"/>
      <c r="W26" s="2"/>
      <c r="X26" s="2"/>
      <c r="Y26" s="2"/>
      <c r="Z26" s="2"/>
    </row>
    <row r="27" spans="1:26" ht="15" customHeight="1" x14ac:dyDescent="0.3">
      <c r="A27" s="4"/>
      <c r="B27" s="47" t="s">
        <v>46</v>
      </c>
      <c r="C27" s="48">
        <v>1</v>
      </c>
      <c r="D27" s="13"/>
      <c r="E27" s="13"/>
      <c r="F27" s="159"/>
      <c r="G27" s="160"/>
      <c r="H27" s="161"/>
      <c r="I27" s="13"/>
      <c r="J27" s="219" t="s">
        <v>47</v>
      </c>
      <c r="K27" s="166"/>
      <c r="L27" s="49">
        <f>D29</f>
        <v>0</v>
      </c>
      <c r="M27" s="13"/>
      <c r="N27" s="184" t="s">
        <v>47</v>
      </c>
      <c r="O27" s="166"/>
      <c r="P27" s="50">
        <f>N15</f>
        <v>0</v>
      </c>
      <c r="Q27" s="13"/>
      <c r="R27" s="51">
        <v>1</v>
      </c>
      <c r="S27" s="51">
        <v>0</v>
      </c>
      <c r="T27" s="52">
        <f>(S27-R27)/R27</f>
        <v>-1</v>
      </c>
      <c r="U27" s="2"/>
      <c r="V27" s="2"/>
      <c r="W27" s="2"/>
      <c r="X27" s="2"/>
      <c r="Y27" s="2"/>
      <c r="Z27" s="2"/>
    </row>
    <row r="28" spans="1:26" ht="15" customHeight="1" x14ac:dyDescent="0.3">
      <c r="A28" s="4"/>
      <c r="B28" s="170" t="s">
        <v>48</v>
      </c>
      <c r="C28" s="166"/>
      <c r="D28" s="27">
        <f>C26/C27</f>
        <v>0</v>
      </c>
      <c r="E28" s="13"/>
      <c r="F28" s="156"/>
      <c r="G28" s="157"/>
      <c r="H28" s="158"/>
      <c r="I28" s="13"/>
      <c r="J28" s="153" t="s">
        <v>57</v>
      </c>
      <c r="K28" s="166"/>
      <c r="L28" s="40">
        <f>L26-L27</f>
        <v>0</v>
      </c>
      <c r="M28" s="13"/>
      <c r="N28" s="153" t="s">
        <v>49</v>
      </c>
      <c r="O28" s="166"/>
      <c r="P28" s="40">
        <f>P26-P27</f>
        <v>0</v>
      </c>
      <c r="Q28" s="13"/>
      <c r="R28" s="206" t="str">
        <f>IF(T27&gt;0%,"MAIOR QUE ANTERIOR"," VALOR IGUAL OU MENOR QUE ANTERIOR")</f>
        <v xml:space="preserve"> VALOR IGUAL OU MENOR QUE ANTERIOR</v>
      </c>
      <c r="S28" s="197"/>
      <c r="T28" s="166"/>
      <c r="U28" s="2"/>
      <c r="V28" s="2"/>
      <c r="W28" s="2"/>
      <c r="X28" s="2"/>
      <c r="Y28" s="2"/>
      <c r="Z28" s="2"/>
    </row>
    <row r="29" spans="1:26" ht="15.75" customHeight="1" x14ac:dyDescent="0.3">
      <c r="A29" s="4"/>
      <c r="B29" s="153" t="s">
        <v>50</v>
      </c>
      <c r="C29" s="166"/>
      <c r="D29" s="40">
        <f>SUM(D25+D28)</f>
        <v>0</v>
      </c>
      <c r="E29" s="13"/>
      <c r="F29" s="184" t="s">
        <v>5</v>
      </c>
      <c r="G29" s="185"/>
      <c r="H29" s="14">
        <v>0</v>
      </c>
      <c r="I29" s="13"/>
      <c r="J29" s="180" t="s">
        <v>58</v>
      </c>
      <c r="K29" s="181"/>
      <c r="L29" s="53" t="e">
        <f>(L28/D39)*100</f>
        <v>#DIV/0!</v>
      </c>
      <c r="M29" s="13"/>
      <c r="N29" s="13"/>
      <c r="O29" s="13"/>
      <c r="P29" s="13"/>
      <c r="Q29" s="13"/>
      <c r="R29" s="153" t="s">
        <v>52</v>
      </c>
      <c r="S29" s="197"/>
      <c r="T29" s="166"/>
      <c r="U29" s="2"/>
      <c r="V29" s="2"/>
      <c r="W29" s="2"/>
      <c r="X29" s="2"/>
      <c r="Y29" s="2"/>
      <c r="Z29" s="2"/>
    </row>
    <row r="30" spans="1:26" ht="15.75" customHeight="1" x14ac:dyDescent="0.3">
      <c r="A30" s="4"/>
      <c r="B30" s="171"/>
      <c r="C30" s="172"/>
      <c r="D30" s="173"/>
      <c r="E30" s="13"/>
      <c r="F30" s="7"/>
      <c r="G30" s="47" t="s">
        <v>46</v>
      </c>
      <c r="H30" s="54">
        <v>1</v>
      </c>
      <c r="I30" s="13"/>
      <c r="J30" s="182" t="e">
        <f>IF(L29&gt;13,"LUCRO POSITIVO","LUCRO BAIXO")</f>
        <v>#DIV/0!</v>
      </c>
      <c r="K30" s="183"/>
      <c r="L30" s="183"/>
      <c r="M30" s="13"/>
      <c r="N30" s="13"/>
      <c r="O30" s="13"/>
      <c r="P30" s="13"/>
      <c r="Q30" s="13"/>
      <c r="R30" s="13"/>
      <c r="S30" s="55" t="s">
        <v>22</v>
      </c>
      <c r="T30" s="56">
        <f>S27-R27</f>
        <v>-1</v>
      </c>
      <c r="U30" s="2"/>
      <c r="V30" s="2"/>
      <c r="W30" s="2"/>
      <c r="X30" s="2"/>
      <c r="Y30" s="2"/>
      <c r="Z30" s="2"/>
    </row>
    <row r="31" spans="1:26" ht="15.75" customHeight="1" x14ac:dyDescent="0.3">
      <c r="A31" s="4"/>
      <c r="B31" s="174" t="s">
        <v>53</v>
      </c>
      <c r="C31" s="175"/>
      <c r="D31" s="176"/>
      <c r="E31" s="13"/>
      <c r="F31" s="57" t="s">
        <v>70</v>
      </c>
      <c r="G31" s="58">
        <v>0.04</v>
      </c>
      <c r="H31" s="59">
        <f>(H29+G34+G35+G36)*(G31)</f>
        <v>0</v>
      </c>
      <c r="I31" s="13"/>
      <c r="J31" s="167" t="e">
        <f>IF(L29&lt;0,"LUCRO NEGATIVO","")</f>
        <v>#DIV/0!</v>
      </c>
      <c r="K31" s="168"/>
      <c r="L31" s="168"/>
      <c r="M31" s="13"/>
      <c r="N31" s="13"/>
      <c r="O31" s="13"/>
      <c r="P31" s="13"/>
      <c r="Q31" s="13"/>
      <c r="R31" s="13"/>
      <c r="S31" s="13"/>
      <c r="T31" s="13"/>
      <c r="U31" s="2"/>
      <c r="V31" s="2"/>
      <c r="W31" s="2"/>
      <c r="X31" s="2"/>
      <c r="Y31" s="2"/>
      <c r="Z31" s="2"/>
    </row>
    <row r="32" spans="1:26" ht="15.75" customHeight="1" x14ac:dyDescent="0.3">
      <c r="A32" s="4"/>
      <c r="B32" s="177"/>
      <c r="C32" s="178"/>
      <c r="D32" s="179"/>
      <c r="E32" s="13"/>
      <c r="F32" s="60" t="s">
        <v>72</v>
      </c>
      <c r="G32" s="61">
        <v>20.5</v>
      </c>
      <c r="H32" s="13"/>
      <c r="I32" s="13"/>
      <c r="J32" s="169" t="e">
        <f>IF(L29&gt;40,"LUCRO ALTO","")</f>
        <v>#DIV/0!</v>
      </c>
      <c r="K32" s="168"/>
      <c r="L32" s="168"/>
      <c r="M32" s="13"/>
      <c r="N32" s="13"/>
      <c r="O32" s="13"/>
      <c r="P32" s="13"/>
      <c r="Q32" s="13"/>
      <c r="R32" s="13"/>
      <c r="S32" s="13"/>
      <c r="T32" s="13"/>
      <c r="U32" s="2"/>
      <c r="V32" s="2"/>
      <c r="W32" s="2"/>
      <c r="X32" s="2"/>
      <c r="Y32" s="2"/>
      <c r="Z32" s="2"/>
    </row>
    <row r="33" spans="1:26" ht="15.75" customHeight="1" x14ac:dyDescent="0.3">
      <c r="A33" s="4"/>
      <c r="B33" s="62" t="s">
        <v>54</v>
      </c>
      <c r="C33" s="63">
        <v>0.6</v>
      </c>
      <c r="D33" s="64">
        <f>SUM(D29+(D29*C33))</f>
        <v>0</v>
      </c>
      <c r="E33" s="13"/>
      <c r="F33" s="65" t="s">
        <v>23</v>
      </c>
      <c r="G33" s="66">
        <v>0</v>
      </c>
      <c r="H33" s="67">
        <f>H29*G33</f>
        <v>0</v>
      </c>
      <c r="I33" s="13"/>
      <c r="J33" s="68"/>
      <c r="K33" s="68"/>
      <c r="L33" s="68"/>
      <c r="M33" s="13"/>
      <c r="N33" s="13"/>
      <c r="O33" s="4"/>
      <c r="P33" s="4"/>
      <c r="Q33" s="4"/>
      <c r="R33" s="4"/>
      <c r="S33" s="4"/>
      <c r="T33" s="4"/>
      <c r="U33" s="2"/>
      <c r="V33" s="2"/>
      <c r="W33" s="2"/>
      <c r="X33" s="2"/>
      <c r="Y33" s="2"/>
      <c r="Z33" s="2"/>
    </row>
    <row r="34" spans="1:26" ht="15.75" customHeight="1" x14ac:dyDescent="0.3">
      <c r="A34" s="4"/>
      <c r="B34" s="13"/>
      <c r="C34" s="13"/>
      <c r="D34" s="13"/>
      <c r="E34" s="13"/>
      <c r="F34" s="69" t="s">
        <v>63</v>
      </c>
      <c r="G34" s="70">
        <v>0</v>
      </c>
      <c r="H34" s="71">
        <f>G34/H30</f>
        <v>0</v>
      </c>
      <c r="I34" s="13"/>
      <c r="J34" s="13"/>
      <c r="K34" s="13"/>
      <c r="L34" s="13"/>
      <c r="M34" s="13"/>
      <c r="N34" s="13"/>
      <c r="O34" s="4"/>
      <c r="P34" s="4"/>
      <c r="Q34" s="4"/>
      <c r="R34" s="4"/>
      <c r="S34" s="4"/>
      <c r="T34" s="4"/>
      <c r="U34" s="2"/>
      <c r="V34" s="2"/>
      <c r="W34" s="2"/>
      <c r="X34" s="2"/>
      <c r="Y34" s="2"/>
      <c r="Z34" s="2"/>
    </row>
    <row r="35" spans="1:26" ht="15.75" customHeight="1" x14ac:dyDescent="0.3">
      <c r="A35" s="4"/>
      <c r="B35" s="72" t="s">
        <v>55</v>
      </c>
      <c r="C35" s="73">
        <f>C36-10%</f>
        <v>0.5</v>
      </c>
      <c r="D35" s="74">
        <f>SUM(D36-(D36*0.1))</f>
        <v>0</v>
      </c>
      <c r="E35" s="13"/>
      <c r="F35" s="69" t="s">
        <v>64</v>
      </c>
      <c r="G35" s="70">
        <v>0</v>
      </c>
      <c r="H35" s="71">
        <f>G35/H30</f>
        <v>0</v>
      </c>
      <c r="I35" s="13"/>
      <c r="J35" s="13"/>
      <c r="K35" s="13"/>
      <c r="L35" s="13"/>
      <c r="M35" s="13"/>
      <c r="N35" s="13"/>
      <c r="O35" s="4"/>
      <c r="P35" s="4"/>
      <c r="Q35" s="4"/>
      <c r="R35" s="4"/>
      <c r="S35" s="4"/>
      <c r="T35" s="4"/>
      <c r="U35" s="2"/>
      <c r="V35" s="2"/>
      <c r="W35" s="2"/>
      <c r="X35" s="2"/>
      <c r="Y35" s="2"/>
      <c r="Z35" s="2"/>
    </row>
    <row r="36" spans="1:26" ht="15.75" customHeight="1" x14ac:dyDescent="0.3">
      <c r="A36" s="4"/>
      <c r="B36" s="72" t="s">
        <v>56</v>
      </c>
      <c r="C36" s="73">
        <f t="shared" ref="C36:D36" si="3">C33</f>
        <v>0.6</v>
      </c>
      <c r="D36" s="74">
        <f t="shared" si="3"/>
        <v>0</v>
      </c>
      <c r="E36" s="13"/>
      <c r="F36" s="69" t="s">
        <v>71</v>
      </c>
      <c r="G36" s="70">
        <v>0</v>
      </c>
      <c r="H36" s="71">
        <f>G36/H30</f>
        <v>0</v>
      </c>
      <c r="I36" s="13"/>
      <c r="J36" s="13"/>
      <c r="K36" s="13"/>
      <c r="L36" s="13"/>
      <c r="M36" s="13"/>
      <c r="N36" s="13"/>
      <c r="O36" s="4"/>
      <c r="P36" s="4"/>
      <c r="Q36" s="4"/>
      <c r="R36" s="4"/>
      <c r="S36" s="4"/>
      <c r="T36" s="4"/>
      <c r="U36" s="2"/>
      <c r="V36" s="2"/>
      <c r="W36" s="2"/>
      <c r="X36" s="2"/>
      <c r="Y36" s="2"/>
      <c r="Z36" s="2"/>
    </row>
    <row r="37" spans="1:26" ht="15.75" customHeight="1" x14ac:dyDescent="0.3">
      <c r="A37" s="4"/>
      <c r="B37" s="72" t="s">
        <v>32</v>
      </c>
      <c r="C37" s="73">
        <f>C36+10%</f>
        <v>0.7</v>
      </c>
      <c r="D37" s="74">
        <f>SUM(D36+(D36*0.1))</f>
        <v>0</v>
      </c>
      <c r="E37" s="13"/>
      <c r="F37" s="75" t="s">
        <v>66</v>
      </c>
      <c r="G37" s="76" t="str">
        <f>IFERROR(VLOOKUP(G38,'NCM+MVA'!C10:E367,3,FALSE),"0")</f>
        <v>0</v>
      </c>
      <c r="H37" s="77">
        <f>H29+H33+H34+H35+H36</f>
        <v>0</v>
      </c>
      <c r="I37" s="13"/>
      <c r="J37" s="13"/>
      <c r="K37" s="13"/>
      <c r="L37" s="13"/>
      <c r="M37" s="13"/>
      <c r="N37" s="13"/>
      <c r="O37" s="4"/>
      <c r="P37" s="4"/>
      <c r="Q37" s="4"/>
      <c r="R37" s="4"/>
      <c r="S37" s="4"/>
      <c r="T37" s="4"/>
      <c r="U37" s="2"/>
      <c r="V37" s="2"/>
      <c r="W37" s="2"/>
      <c r="X37" s="2"/>
      <c r="Y37" s="2"/>
      <c r="Z37" s="2"/>
    </row>
    <row r="38" spans="1:26" ht="15.75" customHeight="1" x14ac:dyDescent="0.3">
      <c r="A38" s="4"/>
      <c r="B38" s="13"/>
      <c r="C38" s="13"/>
      <c r="D38" s="78"/>
      <c r="E38" s="13"/>
      <c r="F38" s="79" t="s">
        <v>61</v>
      </c>
      <c r="G38" s="80">
        <v>0</v>
      </c>
      <c r="H38" s="7"/>
      <c r="I38" s="13"/>
      <c r="J38" s="13"/>
      <c r="K38" s="13"/>
      <c r="L38" s="13"/>
      <c r="M38" s="13"/>
      <c r="N38" s="13"/>
      <c r="O38" s="4"/>
      <c r="P38" s="4"/>
      <c r="Q38" s="4"/>
      <c r="R38" s="4"/>
      <c r="S38" s="4"/>
      <c r="T38" s="4"/>
      <c r="U38" s="2"/>
      <c r="V38" s="2"/>
      <c r="W38" s="2"/>
      <c r="X38" s="2"/>
      <c r="Y38" s="2"/>
      <c r="Z38" s="2"/>
    </row>
    <row r="39" spans="1:26" ht="15.75" customHeight="1" x14ac:dyDescent="0.3">
      <c r="A39" s="4"/>
      <c r="B39" s="165" t="s">
        <v>59</v>
      </c>
      <c r="C39" s="166"/>
      <c r="D39" s="81">
        <f>ROUNDUP((D36),0)</f>
        <v>0</v>
      </c>
      <c r="E39" s="13"/>
      <c r="F39" s="82" t="s">
        <v>65</v>
      </c>
      <c r="G39" s="83"/>
      <c r="H39" s="77">
        <f>((H29+H33+H34+H35+H36)*(1+(G37/100)))</f>
        <v>0</v>
      </c>
      <c r="I39" s="13"/>
      <c r="J39" s="13"/>
      <c r="K39" s="13"/>
      <c r="L39" s="84"/>
      <c r="M39" s="13"/>
      <c r="N39" s="13"/>
      <c r="O39" s="4"/>
      <c r="P39" s="4"/>
      <c r="Q39" s="4"/>
      <c r="R39" s="4"/>
      <c r="S39" s="4"/>
      <c r="T39" s="4"/>
      <c r="U39" s="2"/>
      <c r="V39" s="2"/>
      <c r="W39" s="2"/>
      <c r="X39" s="2"/>
      <c r="Y39" s="2"/>
      <c r="Z39" s="2"/>
    </row>
    <row r="40" spans="1:26" ht="15.75" customHeight="1" x14ac:dyDescent="0.3">
      <c r="A40" s="4"/>
      <c r="B40" s="13"/>
      <c r="C40" s="13"/>
      <c r="D40" s="13"/>
      <c r="E40" s="13"/>
      <c r="F40" s="82" t="s">
        <v>67</v>
      </c>
      <c r="G40" s="83"/>
      <c r="H40" s="77">
        <f>(H39*(G32/100))-H31</f>
        <v>0</v>
      </c>
      <c r="I40" s="13"/>
      <c r="J40" s="13"/>
      <c r="K40" s="13"/>
      <c r="L40" s="84"/>
      <c r="M40" s="13"/>
      <c r="N40" s="13"/>
      <c r="O40" s="4"/>
      <c r="P40" s="4"/>
      <c r="Q40" s="4"/>
      <c r="R40" s="4"/>
      <c r="S40" s="4"/>
      <c r="T40" s="4"/>
      <c r="U40" s="2"/>
      <c r="V40" s="2"/>
      <c r="W40" s="2"/>
      <c r="X40" s="2"/>
      <c r="Y40" s="2"/>
      <c r="Z40" s="2"/>
    </row>
    <row r="41" spans="1:26" ht="15.75" customHeight="1" x14ac:dyDescent="0.3">
      <c r="A41" s="4"/>
      <c r="B41" s="13"/>
      <c r="C41" s="13"/>
      <c r="D41" s="13"/>
      <c r="E41" s="13"/>
      <c r="F41" s="15" t="s">
        <v>68</v>
      </c>
      <c r="G41" s="85"/>
      <c r="H41" s="86" t="e">
        <f>H40/H39</f>
        <v>#DIV/0!</v>
      </c>
      <c r="I41" s="13"/>
      <c r="J41" s="7"/>
      <c r="K41" s="13"/>
      <c r="L41" s="13"/>
      <c r="M41" s="13"/>
      <c r="N41" s="13"/>
      <c r="O41" s="4"/>
      <c r="P41" s="4"/>
      <c r="Q41" s="4"/>
      <c r="R41" s="4"/>
      <c r="S41" s="4"/>
      <c r="T41" s="4"/>
      <c r="U41" s="2"/>
      <c r="V41" s="2"/>
      <c r="W41" s="2"/>
      <c r="X41" s="2"/>
      <c r="Y41" s="2"/>
      <c r="Z41" s="2"/>
    </row>
    <row r="42" spans="1:26" ht="15.75" customHeight="1" x14ac:dyDescent="0.3">
      <c r="A42" s="4"/>
      <c r="B42" s="13"/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4"/>
      <c r="O42" s="4"/>
      <c r="P42" s="4"/>
      <c r="Q42" s="4"/>
      <c r="R42" s="4"/>
      <c r="S42" s="4"/>
      <c r="T42" s="4"/>
      <c r="U42" s="2"/>
      <c r="V42" s="2"/>
      <c r="W42" s="2"/>
      <c r="X42" s="2"/>
      <c r="Y42" s="2"/>
      <c r="Z42" s="2"/>
    </row>
    <row r="43" spans="1:26" ht="15.75" customHeight="1" x14ac:dyDescent="0.25">
      <c r="A43" s="2"/>
      <c r="B43" s="2"/>
      <c r="C43" s="2"/>
      <c r="D43" s="2"/>
      <c r="E43" s="3"/>
      <c r="F43" s="3"/>
      <c r="G43" s="3"/>
      <c r="H43" s="3"/>
      <c r="I43" s="3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spans="1:26" ht="15.75" customHeight="1" x14ac:dyDescent="0.25">
      <c r="A44" s="2"/>
      <c r="B44" s="2"/>
      <c r="C44" s="2"/>
      <c r="D44" s="2"/>
      <c r="E44" s="3"/>
      <c r="F44" s="3"/>
      <c r="G44" s="3"/>
      <c r="H44" s="3"/>
      <c r="I44" s="3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spans="1:26" ht="15.75" customHeight="1" x14ac:dyDescent="0.25">
      <c r="A45" s="2"/>
      <c r="B45" s="2"/>
      <c r="C45" s="2"/>
      <c r="D45" s="2"/>
      <c r="E45" s="3"/>
      <c r="F45" s="3"/>
      <c r="G45" s="3"/>
      <c r="H45" s="3"/>
      <c r="I45" s="3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spans="1:26" ht="15.75" customHeight="1" x14ac:dyDescent="0.25">
      <c r="A46" s="2"/>
      <c r="B46" s="2"/>
      <c r="C46" s="2"/>
      <c r="D46" s="2"/>
      <c r="E46" s="3"/>
      <c r="F46" s="3"/>
      <c r="G46" s="3"/>
      <c r="H46" s="3"/>
      <c r="I46" s="3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spans="1:26" ht="15.75" customHeight="1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spans="1:26" ht="15.75" customHeight="1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spans="1:26" ht="15.75" customHeight="1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spans="1:26" ht="15.75" customHeight="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spans="1:26" ht="15.75" customHeight="1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spans="1:26" ht="15.75" customHeight="1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spans="1:26" ht="15.75" customHeight="1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1:26" ht="15.75" customHeight="1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spans="1:26" ht="15.75" customHeight="1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spans="1:26" ht="15.75" customHeight="1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spans="1:26" ht="15.75" customHeight="1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spans="1:26" ht="15.75" customHeight="1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spans="1:26" ht="15.75" customHeight="1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spans="1:26" ht="15.75" customHeight="1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spans="1:26" ht="15.75" customHeight="1" x14ac:dyDescent="0.2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spans="1:26" ht="15.75" customHeight="1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spans="1:26" ht="15.75" customHeight="1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spans="1:26" ht="15.75" customHeight="1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spans="1:26" ht="15.75" customHeight="1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spans="1:26" ht="15.75" customHeight="1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spans="1:26" ht="15.75" customHeight="1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spans="1:26" ht="15.75" customHeight="1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spans="1:26" ht="15.75" customHeight="1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spans="1:26" ht="15.75" customHeight="1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spans="1:26" ht="15.75" customHeight="1" x14ac:dyDescent="0.2"/>
    <row r="72" spans="1:26" ht="15.75" customHeight="1" x14ac:dyDescent="0.2"/>
    <row r="73" spans="1:26" ht="15.75" customHeight="1" x14ac:dyDescent="0.2"/>
    <row r="74" spans="1:26" ht="15.75" customHeight="1" x14ac:dyDescent="0.2"/>
    <row r="75" spans="1:26" ht="15.75" customHeight="1" x14ac:dyDescent="0.2"/>
    <row r="76" spans="1:26" ht="15.75" customHeight="1" x14ac:dyDescent="0.2"/>
    <row r="77" spans="1:26" ht="15.75" customHeight="1" x14ac:dyDescent="0.2"/>
    <row r="78" spans="1:26" ht="15.75" customHeight="1" x14ac:dyDescent="0.2"/>
    <row r="79" spans="1:26" ht="15.75" customHeight="1" x14ac:dyDescent="0.2"/>
    <row r="80" spans="1:26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</sheetData>
  <mergeCells count="62">
    <mergeCell ref="R28:T28"/>
    <mergeCell ref="N27:O27"/>
    <mergeCell ref="J17:L17"/>
    <mergeCell ref="B24:D24"/>
    <mergeCell ref="J18:L19"/>
    <mergeCell ref="F25:H25"/>
    <mergeCell ref="F26:H27"/>
    <mergeCell ref="F17:H17"/>
    <mergeCell ref="B20:C20"/>
    <mergeCell ref="B21:D21"/>
    <mergeCell ref="F21:H21"/>
    <mergeCell ref="B22:D22"/>
    <mergeCell ref="B23:D23"/>
    <mergeCell ref="F20:H20"/>
    <mergeCell ref="J21:K21"/>
    <mergeCell ref="J27:K27"/>
    <mergeCell ref="A7:T7"/>
    <mergeCell ref="R29:T29"/>
    <mergeCell ref="B13:C13"/>
    <mergeCell ref="F13:H13"/>
    <mergeCell ref="J13:L13"/>
    <mergeCell ref="N13:P13"/>
    <mergeCell ref="N28:O28"/>
    <mergeCell ref="N17:P17"/>
    <mergeCell ref="F18:H19"/>
    <mergeCell ref="N18:P19"/>
    <mergeCell ref="N20:P20"/>
    <mergeCell ref="N21:O21"/>
    <mergeCell ref="J20:L20"/>
    <mergeCell ref="R13:T13"/>
    <mergeCell ref="R17:T17"/>
    <mergeCell ref="R23:T24"/>
    <mergeCell ref="B10:D10"/>
    <mergeCell ref="R10:T10"/>
    <mergeCell ref="R12:T12"/>
    <mergeCell ref="F10:H10"/>
    <mergeCell ref="J12:L12"/>
    <mergeCell ref="J10:L10"/>
    <mergeCell ref="N10:P10"/>
    <mergeCell ref="B12:D12"/>
    <mergeCell ref="N12:P12"/>
    <mergeCell ref="F12:H12"/>
    <mergeCell ref="B11:D11"/>
    <mergeCell ref="B39:C39"/>
    <mergeCell ref="J31:L31"/>
    <mergeCell ref="J32:L32"/>
    <mergeCell ref="B28:C28"/>
    <mergeCell ref="B29:C29"/>
    <mergeCell ref="B30:D30"/>
    <mergeCell ref="B31:D31"/>
    <mergeCell ref="B32:D32"/>
    <mergeCell ref="J28:K28"/>
    <mergeCell ref="J29:K29"/>
    <mergeCell ref="J30:L30"/>
    <mergeCell ref="F28:H28"/>
    <mergeCell ref="F29:G29"/>
    <mergeCell ref="R25:T25"/>
    <mergeCell ref="F11:H11"/>
    <mergeCell ref="J11:L11"/>
    <mergeCell ref="N11:P11"/>
    <mergeCell ref="R11:T11"/>
    <mergeCell ref="R22:T22"/>
  </mergeCells>
  <conditionalFormatting sqref="B39">
    <cfRule type="containsText" dxfId="13" priority="9" operator="containsText" text="NF POSSUI ICMS ST">
      <formula>NOT(ISERROR(SEARCH(("NF POSSUI ICMS ST"),(B39))))</formula>
    </cfRule>
  </conditionalFormatting>
  <conditionalFormatting sqref="B21:D21">
    <cfRule type="containsText" dxfId="12" priority="11" operator="containsText" text="PROD. POSSUI %CT">
      <formula>NOT(ISERROR(SEARCH(("PROD. POSSUI %CT"),(B21))))</formula>
    </cfRule>
  </conditionalFormatting>
  <conditionalFormatting sqref="D39">
    <cfRule type="containsText" dxfId="11" priority="10" operator="containsText" text="NF POSSUI ICMS ST">
      <formula>NOT(ISERROR(SEARCH(("NF POSSUI ICMS ST"),(D39))))</formula>
    </cfRule>
  </conditionalFormatting>
  <conditionalFormatting sqref="J18">
    <cfRule type="containsText" dxfId="10" priority="12" operator="containsText" text="NF POSSUI ICMS ST">
      <formula>NOT(ISERROR(SEARCH(("NF POSSUI ICMS ST"),(J18))))</formula>
    </cfRule>
  </conditionalFormatting>
  <conditionalFormatting sqref="J31">
    <cfRule type="cellIs" dxfId="9" priority="14" operator="equal">
      <formula>"LUCRO NEGATIVO"</formula>
    </cfRule>
  </conditionalFormatting>
  <conditionalFormatting sqref="J30:L30">
    <cfRule type="cellIs" dxfId="8" priority="13" operator="equal">
      <formula>"LUCRO POSITIVO"</formula>
    </cfRule>
  </conditionalFormatting>
  <conditionalFormatting sqref="J32:L32">
    <cfRule type="cellIs" dxfId="7" priority="15" operator="equal">
      <formula>"LUCRO ALTO"</formula>
    </cfRule>
  </conditionalFormatting>
  <conditionalFormatting sqref="R16">
    <cfRule type="containsText" dxfId="6" priority="7" operator="containsText" text="FALSO">
      <formula>NOT(ISERROR(SEARCH(("FALSO"),(R16))))</formula>
    </cfRule>
  </conditionalFormatting>
  <conditionalFormatting sqref="R20">
    <cfRule type="containsText" dxfId="5" priority="6" operator="containsText" text="FALSO">
      <formula>NOT(ISERROR(SEARCH(("FALSO"),(R20))))</formula>
    </cfRule>
  </conditionalFormatting>
  <conditionalFormatting sqref="R28">
    <cfRule type="containsText" dxfId="4" priority="1" operator="containsText" text="MAIOR">
      <formula>NOT(ISERROR(SEARCH(("MAIOR"),(R28))))</formula>
    </cfRule>
    <cfRule type="containsText" dxfId="3" priority="2" operator="containsText" text="AUMENTO">
      <formula>NOT(ISERROR(SEARCH(("AUMENTO"),(R28))))</formula>
    </cfRule>
    <cfRule type="containsText" dxfId="2" priority="3" operator="containsText" text="AUMENTO">
      <formula>NOT(ISERROR(SEARCH(("AUMENTO"),(R28))))</formula>
    </cfRule>
    <cfRule type="containsText" dxfId="1" priority="4" operator="containsText" text="AUMENTO">
      <formula>NOT(ISERROR(SEARCH(("AUMENTO"),(R28))))</formula>
    </cfRule>
    <cfRule type="containsText" dxfId="0" priority="5" operator="containsText" text="AUMENTO">
      <formula>NOT(ISERROR(SEARCH(("AUMENTO"),(R28))))</formula>
    </cfRule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rintOptions horizontalCentered="1" verticalCentered="1"/>
  <pageMargins left="0.59055118110236227" right="0.59055118110236227" top="0.59055118110236227" bottom="0.59055118110236227" header="0" footer="0"/>
  <pageSetup paperSize="9" scale="72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773D84-657A-4071-BF73-44575B6F6628}">
  <sheetPr codeName="Planilha3"/>
  <dimension ref="A1:Z398"/>
  <sheetViews>
    <sheetView workbookViewId="0">
      <selection activeCell="K24" sqref="K24"/>
    </sheetView>
  </sheetViews>
  <sheetFormatPr defaultColWidth="12.625" defaultRowHeight="15" customHeight="1" x14ac:dyDescent="0.3"/>
  <cols>
    <col min="1" max="1" width="2.75" style="7" customWidth="1"/>
    <col min="2" max="2" width="15.5" style="7" customWidth="1"/>
    <col min="3" max="3" width="12.5" style="7" customWidth="1"/>
    <col min="4" max="4" width="65.25" style="7" customWidth="1"/>
    <col min="5" max="5" width="17.5" style="102" customWidth="1"/>
    <col min="6" max="6" width="15" style="7" customWidth="1"/>
    <col min="7" max="7" width="5" style="7" customWidth="1"/>
    <col min="8" max="15" width="7.625" style="7" customWidth="1"/>
    <col min="16" max="16384" width="12.625" style="7"/>
  </cols>
  <sheetData>
    <row r="1" spans="1:26" ht="15" customHeight="1" x14ac:dyDescent="0.3">
      <c r="A1" s="5"/>
      <c r="B1" s="5"/>
      <c r="C1" s="89"/>
      <c r="D1" s="89"/>
      <c r="E1" s="90"/>
      <c r="F1" s="90"/>
      <c r="G1" s="90"/>
      <c r="H1" s="90"/>
      <c r="I1" s="90"/>
      <c r="J1" s="90"/>
      <c r="K1" s="90"/>
      <c r="L1" s="90"/>
      <c r="M1" s="90"/>
      <c r="N1" s="90"/>
      <c r="O1" s="90"/>
      <c r="P1" s="90"/>
      <c r="Q1" s="90"/>
      <c r="R1" s="90"/>
      <c r="S1" s="90"/>
      <c r="T1" s="90"/>
      <c r="U1" s="90"/>
      <c r="V1" s="90"/>
      <c r="W1" s="90"/>
      <c r="X1" s="90"/>
      <c r="Y1" s="90"/>
    </row>
    <row r="2" spans="1:26" ht="16.5" x14ac:dyDescent="0.3">
      <c r="A2" s="5"/>
      <c r="B2" s="5"/>
      <c r="C2" s="89"/>
      <c r="D2" s="6"/>
      <c r="E2" s="91"/>
      <c r="F2" s="5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11"/>
    </row>
    <row r="3" spans="1:26" ht="16.5" x14ac:dyDescent="0.3">
      <c r="A3" s="5"/>
      <c r="B3" s="5"/>
      <c r="C3" s="89"/>
      <c r="D3" s="6"/>
      <c r="E3" s="223">
        <f>'CALCULADORA MANUAL (SIMULAÇÕES)'!K3</f>
        <v>0</v>
      </c>
      <c r="F3" s="22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11"/>
    </row>
    <row r="4" spans="1:26" ht="16.5" x14ac:dyDescent="0.3">
      <c r="A4" s="5"/>
      <c r="B4" s="5"/>
      <c r="C4" s="89"/>
      <c r="D4" s="6"/>
      <c r="E4" s="223">
        <f>'CALCULADORA MANUAL (SIMULAÇÕES)'!K4</f>
        <v>0</v>
      </c>
      <c r="F4" s="22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11"/>
    </row>
    <row r="5" spans="1:26" ht="4.5" customHeight="1" x14ac:dyDescent="0.3">
      <c r="A5" s="12"/>
      <c r="B5" s="12"/>
      <c r="C5" s="92"/>
      <c r="D5" s="92"/>
      <c r="E5" s="93"/>
      <c r="F5" s="12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11"/>
    </row>
    <row r="6" spans="1:26" ht="7.5" customHeight="1" x14ac:dyDescent="0.3">
      <c r="A6" s="220"/>
      <c r="B6" s="191"/>
      <c r="C6" s="191"/>
      <c r="D6" s="191"/>
      <c r="E6" s="221"/>
      <c r="F6" s="222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11"/>
    </row>
    <row r="7" spans="1:26" ht="32.25" customHeight="1" x14ac:dyDescent="0.3">
      <c r="A7" s="143" t="s">
        <v>74</v>
      </c>
      <c r="B7" s="225"/>
      <c r="C7" s="225"/>
      <c r="D7" s="225"/>
      <c r="E7" s="168"/>
      <c r="F7" s="22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11"/>
    </row>
    <row r="8" spans="1:26" ht="7.5" customHeight="1" x14ac:dyDescent="0.3">
      <c r="A8" s="220"/>
      <c r="B8" s="191"/>
      <c r="C8" s="191"/>
      <c r="D8" s="191"/>
      <c r="E8" s="221"/>
      <c r="F8" s="222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11"/>
    </row>
    <row r="9" spans="1:26" ht="18.75" customHeight="1" x14ac:dyDescent="0.3">
      <c r="A9" s="4"/>
      <c r="B9" s="4"/>
      <c r="C9" s="94"/>
      <c r="D9" s="94"/>
      <c r="E9" s="95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11"/>
    </row>
    <row r="10" spans="1:26" ht="18.75" customHeight="1" x14ac:dyDescent="0.3">
      <c r="A10" s="4"/>
      <c r="B10" s="4"/>
      <c r="C10" s="96" t="s">
        <v>61</v>
      </c>
      <c r="D10" s="97" t="s">
        <v>60</v>
      </c>
      <c r="E10" s="98" t="s">
        <v>66</v>
      </c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11"/>
    </row>
    <row r="11" spans="1:26" ht="19.5" customHeight="1" x14ac:dyDescent="0.3">
      <c r="A11" s="4"/>
      <c r="B11" s="4"/>
      <c r="C11" s="99">
        <v>13021190</v>
      </c>
      <c r="D11" s="99" t="s">
        <v>73</v>
      </c>
      <c r="E11" s="100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11"/>
    </row>
    <row r="12" spans="1:26" ht="19.5" customHeight="1" x14ac:dyDescent="0.3">
      <c r="A12" s="4"/>
      <c r="B12" s="4"/>
      <c r="C12" s="99">
        <v>21069090</v>
      </c>
      <c r="D12" s="99" t="s">
        <v>73</v>
      </c>
      <c r="E12" s="100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11"/>
    </row>
    <row r="13" spans="1:26" ht="19.5" customHeight="1" x14ac:dyDescent="0.3">
      <c r="A13" s="4"/>
      <c r="B13" s="4"/>
      <c r="C13" s="99">
        <v>27101230</v>
      </c>
      <c r="D13" s="99" t="s">
        <v>73</v>
      </c>
      <c r="E13" s="100">
        <v>96.72</v>
      </c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11"/>
    </row>
    <row r="14" spans="1:26" ht="19.5" customHeight="1" x14ac:dyDescent="0.3">
      <c r="A14" s="4"/>
      <c r="B14" s="4"/>
      <c r="C14" s="99">
        <v>27101991</v>
      </c>
      <c r="D14" s="99" t="s">
        <v>73</v>
      </c>
      <c r="E14" s="100">
        <v>96.72</v>
      </c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11"/>
    </row>
    <row r="15" spans="1:26" ht="19.5" customHeight="1" x14ac:dyDescent="0.3">
      <c r="A15" s="4"/>
      <c r="B15" s="4"/>
      <c r="C15" s="99">
        <v>29054900</v>
      </c>
      <c r="D15" s="99" t="s">
        <v>73</v>
      </c>
      <c r="E15" s="100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11"/>
    </row>
    <row r="16" spans="1:26" ht="19.5" customHeight="1" x14ac:dyDescent="0.3">
      <c r="A16" s="4"/>
      <c r="B16" s="4"/>
      <c r="C16" s="99">
        <v>32061130</v>
      </c>
      <c r="D16" s="99" t="s">
        <v>73</v>
      </c>
      <c r="E16" s="100">
        <v>58.05</v>
      </c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11"/>
    </row>
    <row r="17" spans="1:26" ht="19.5" customHeight="1" x14ac:dyDescent="0.3">
      <c r="A17" s="4"/>
      <c r="B17" s="4"/>
      <c r="C17" s="99">
        <v>32081010</v>
      </c>
      <c r="D17" s="99" t="s">
        <v>73</v>
      </c>
      <c r="E17" s="100">
        <v>58.05</v>
      </c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11"/>
    </row>
    <row r="18" spans="1:26" ht="19.5" customHeight="1" x14ac:dyDescent="0.3">
      <c r="A18" s="4"/>
      <c r="B18" s="4"/>
      <c r="C18" s="99">
        <v>32141010</v>
      </c>
      <c r="D18" s="99" t="s">
        <v>73</v>
      </c>
      <c r="E18" s="100">
        <v>58.05</v>
      </c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11"/>
    </row>
    <row r="19" spans="1:26" ht="19.5" customHeight="1" x14ac:dyDescent="0.3">
      <c r="A19" s="4"/>
      <c r="B19" s="4"/>
      <c r="C19" s="99">
        <v>32141020</v>
      </c>
      <c r="D19" s="99" t="s">
        <v>73</v>
      </c>
      <c r="E19" s="100">
        <v>58.05</v>
      </c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11"/>
    </row>
    <row r="20" spans="1:26" ht="19.5" customHeight="1" x14ac:dyDescent="0.3">
      <c r="A20" s="4"/>
      <c r="B20" s="4"/>
      <c r="C20" s="99">
        <v>32149000</v>
      </c>
      <c r="D20" s="99" t="s">
        <v>73</v>
      </c>
      <c r="E20" s="100">
        <v>58.05</v>
      </c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11"/>
    </row>
    <row r="21" spans="1:26" ht="19.5" customHeight="1" x14ac:dyDescent="0.3">
      <c r="A21" s="4"/>
      <c r="B21" s="4"/>
      <c r="C21" s="99">
        <v>34011900</v>
      </c>
      <c r="D21" s="99" t="s">
        <v>73</v>
      </c>
      <c r="E21" s="100">
        <v>82.38</v>
      </c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11"/>
    </row>
    <row r="22" spans="1:26" ht="19.5" customHeight="1" x14ac:dyDescent="0.3">
      <c r="A22" s="4"/>
      <c r="B22" s="4"/>
      <c r="C22" s="99">
        <v>34012090</v>
      </c>
      <c r="D22" s="99" t="s">
        <v>73</v>
      </c>
      <c r="E22" s="100">
        <v>82.38</v>
      </c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11"/>
    </row>
    <row r="23" spans="1:26" ht="19.5" customHeight="1" x14ac:dyDescent="0.3">
      <c r="A23" s="4"/>
      <c r="B23" s="4"/>
      <c r="C23" s="99">
        <v>35061090</v>
      </c>
      <c r="D23" s="99" t="s">
        <v>73</v>
      </c>
      <c r="E23" s="100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11"/>
    </row>
    <row r="24" spans="1:26" ht="19.5" customHeight="1" x14ac:dyDescent="0.3">
      <c r="A24" s="4"/>
      <c r="B24" s="4"/>
      <c r="C24" s="99">
        <v>35069110</v>
      </c>
      <c r="D24" s="99" t="s">
        <v>73</v>
      </c>
      <c r="E24" s="100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11"/>
    </row>
    <row r="25" spans="1:26" ht="19.5" customHeight="1" x14ac:dyDescent="0.3">
      <c r="A25" s="4"/>
      <c r="B25" s="4"/>
      <c r="C25" s="99">
        <v>35069190</v>
      </c>
      <c r="D25" s="99" t="s">
        <v>73</v>
      </c>
      <c r="E25" s="100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11"/>
    </row>
    <row r="26" spans="1:26" ht="19.5" customHeight="1" x14ac:dyDescent="0.3">
      <c r="A26" s="4"/>
      <c r="B26" s="4"/>
      <c r="C26" s="99">
        <v>35992088</v>
      </c>
      <c r="D26" s="99" t="s">
        <v>73</v>
      </c>
      <c r="E26" s="100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11"/>
    </row>
    <row r="27" spans="1:26" ht="19.5" customHeight="1" x14ac:dyDescent="0.3">
      <c r="A27" s="4"/>
      <c r="B27" s="4"/>
      <c r="C27" s="99">
        <v>38140090</v>
      </c>
      <c r="D27" s="99" t="s">
        <v>73</v>
      </c>
      <c r="E27" s="100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11"/>
    </row>
    <row r="28" spans="1:26" ht="19.5" customHeight="1" x14ac:dyDescent="0.3">
      <c r="A28" s="4"/>
      <c r="B28" s="4"/>
      <c r="C28" s="99">
        <v>38244000</v>
      </c>
      <c r="D28" s="99" t="s">
        <v>73</v>
      </c>
      <c r="E28" s="100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11"/>
    </row>
    <row r="29" spans="1:26" ht="19.5" customHeight="1" x14ac:dyDescent="0.3">
      <c r="A29" s="4"/>
      <c r="B29" s="4"/>
      <c r="C29" s="99">
        <v>38249941</v>
      </c>
      <c r="D29" s="99" t="s">
        <v>73</v>
      </c>
      <c r="E29" s="100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11"/>
    </row>
    <row r="30" spans="1:26" ht="19.5" customHeight="1" x14ac:dyDescent="0.3">
      <c r="A30" s="4"/>
      <c r="B30" s="4"/>
      <c r="C30" s="99">
        <v>39011092</v>
      </c>
      <c r="D30" s="99" t="s">
        <v>73</v>
      </c>
      <c r="E30" s="100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11"/>
    </row>
    <row r="31" spans="1:26" ht="19.5" customHeight="1" x14ac:dyDescent="0.3">
      <c r="A31" s="4"/>
      <c r="B31" s="4"/>
      <c r="C31" s="99">
        <v>39029000</v>
      </c>
      <c r="D31" s="99" t="s">
        <v>73</v>
      </c>
      <c r="E31" s="100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11"/>
    </row>
    <row r="32" spans="1:26" ht="19.5" customHeight="1" x14ac:dyDescent="0.3">
      <c r="A32" s="4"/>
      <c r="B32" s="4"/>
      <c r="C32" s="99">
        <v>39031900</v>
      </c>
      <c r="D32" s="99" t="s">
        <v>73</v>
      </c>
      <c r="E32" s="100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11"/>
    </row>
    <row r="33" spans="1:26" ht="19.5" customHeight="1" x14ac:dyDescent="0.3">
      <c r="A33" s="4"/>
      <c r="B33" s="4"/>
      <c r="C33" s="99">
        <v>39162000</v>
      </c>
      <c r="D33" s="99" t="s">
        <v>73</v>
      </c>
      <c r="E33" s="100">
        <v>83.8</v>
      </c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11"/>
    </row>
    <row r="34" spans="1:26" ht="19.5" customHeight="1" x14ac:dyDescent="0.3">
      <c r="A34" s="4"/>
      <c r="B34" s="4"/>
      <c r="C34" s="99">
        <v>39172100</v>
      </c>
      <c r="D34" s="99" t="s">
        <v>73</v>
      </c>
      <c r="E34" s="100">
        <v>59.22</v>
      </c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11"/>
    </row>
    <row r="35" spans="1:26" ht="19.5" customHeight="1" x14ac:dyDescent="0.3">
      <c r="A35" s="4"/>
      <c r="B35" s="4"/>
      <c r="C35" s="99">
        <v>39172300</v>
      </c>
      <c r="D35" s="99" t="s">
        <v>73</v>
      </c>
      <c r="E35" s="100">
        <v>59.22</v>
      </c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11"/>
    </row>
    <row r="36" spans="1:26" ht="19.5" customHeight="1" x14ac:dyDescent="0.3">
      <c r="A36" s="4"/>
      <c r="B36" s="4"/>
      <c r="C36" s="99">
        <v>39172900</v>
      </c>
      <c r="D36" s="99" t="s">
        <v>73</v>
      </c>
      <c r="E36" s="100">
        <v>59.22</v>
      </c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11"/>
    </row>
    <row r="37" spans="1:26" ht="19.5" customHeight="1" x14ac:dyDescent="0.3">
      <c r="A37" s="4"/>
      <c r="B37" s="4"/>
      <c r="C37" s="99">
        <v>39173229</v>
      </c>
      <c r="D37" s="99" t="s">
        <v>73</v>
      </c>
      <c r="E37" s="100">
        <v>59.22</v>
      </c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11"/>
    </row>
    <row r="38" spans="1:26" ht="19.5" customHeight="1" x14ac:dyDescent="0.3">
      <c r="A38" s="4"/>
      <c r="B38" s="4"/>
      <c r="C38" s="99">
        <v>39173300</v>
      </c>
      <c r="D38" s="99" t="s">
        <v>73</v>
      </c>
      <c r="E38" s="100">
        <v>59.22</v>
      </c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11"/>
    </row>
    <row r="39" spans="1:26" ht="19.5" customHeight="1" x14ac:dyDescent="0.3">
      <c r="A39" s="4"/>
      <c r="B39" s="4"/>
      <c r="C39" s="99">
        <v>39173900</v>
      </c>
      <c r="D39" s="99" t="s">
        <v>73</v>
      </c>
      <c r="E39" s="100">
        <v>59.22</v>
      </c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11"/>
    </row>
    <row r="40" spans="1:26" ht="19.5" customHeight="1" x14ac:dyDescent="0.3">
      <c r="A40" s="4"/>
      <c r="B40" s="4"/>
      <c r="C40" s="99">
        <v>39174090</v>
      </c>
      <c r="D40" s="99" t="s">
        <v>73</v>
      </c>
      <c r="E40" s="100">
        <v>59.22</v>
      </c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11"/>
    </row>
    <row r="41" spans="1:26" ht="19.5" customHeight="1" x14ac:dyDescent="0.3">
      <c r="A41" s="4"/>
      <c r="B41" s="4"/>
      <c r="C41" s="99">
        <v>39191020</v>
      </c>
      <c r="D41" s="99" t="s">
        <v>73</v>
      </c>
      <c r="E41" s="100">
        <v>84.98</v>
      </c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11"/>
    </row>
    <row r="42" spans="1:26" ht="19.5" customHeight="1" x14ac:dyDescent="0.3">
      <c r="A42" s="4"/>
      <c r="B42" s="4"/>
      <c r="C42" s="99">
        <v>39191090</v>
      </c>
      <c r="D42" s="99" t="s">
        <v>73</v>
      </c>
      <c r="E42" s="100">
        <v>84.98</v>
      </c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11"/>
    </row>
    <row r="43" spans="1:26" ht="19.5" customHeight="1" x14ac:dyDescent="0.3">
      <c r="A43" s="4"/>
      <c r="B43" s="4"/>
      <c r="C43" s="99">
        <v>39205900</v>
      </c>
      <c r="D43" s="99" t="s">
        <v>73</v>
      </c>
      <c r="E43" s="100">
        <v>77.95</v>
      </c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11"/>
    </row>
    <row r="44" spans="1:26" ht="19.5" customHeight="1" x14ac:dyDescent="0.3">
      <c r="A44" s="4"/>
      <c r="B44" s="4"/>
      <c r="C44" s="99">
        <v>39206100</v>
      </c>
      <c r="D44" s="99" t="s">
        <v>73</v>
      </c>
      <c r="E44" s="100">
        <v>77.95</v>
      </c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11"/>
    </row>
    <row r="45" spans="1:26" ht="19.5" customHeight="1" x14ac:dyDescent="0.3">
      <c r="A45" s="4"/>
      <c r="B45" s="4"/>
      <c r="C45" s="99">
        <v>39209990</v>
      </c>
      <c r="D45" s="99" t="s">
        <v>73</v>
      </c>
      <c r="E45" s="100">
        <v>77.95</v>
      </c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11"/>
    </row>
    <row r="46" spans="1:26" ht="19.5" customHeight="1" x14ac:dyDescent="0.3">
      <c r="A46" s="4"/>
      <c r="B46" s="4"/>
      <c r="C46" s="99">
        <v>39222000</v>
      </c>
      <c r="D46" s="99" t="s">
        <v>73</v>
      </c>
      <c r="E46" s="100">
        <v>74.44</v>
      </c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11"/>
    </row>
    <row r="47" spans="1:26" ht="19.5" customHeight="1" x14ac:dyDescent="0.3">
      <c r="A47" s="4"/>
      <c r="B47" s="4"/>
      <c r="C47" s="99">
        <v>39229000</v>
      </c>
      <c r="D47" s="99" t="s">
        <v>73</v>
      </c>
      <c r="E47" s="100">
        <v>74.44</v>
      </c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11"/>
    </row>
    <row r="48" spans="1:26" ht="19.5" customHeight="1" x14ac:dyDescent="0.3">
      <c r="A48" s="4"/>
      <c r="B48" s="4"/>
      <c r="C48" s="99">
        <v>39235000</v>
      </c>
      <c r="D48" s="99" t="s">
        <v>73</v>
      </c>
      <c r="E48" s="100">
        <v>102.17</v>
      </c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11"/>
    </row>
    <row r="49" spans="1:26" ht="19.5" customHeight="1" x14ac:dyDescent="0.3">
      <c r="A49" s="4"/>
      <c r="B49" s="4"/>
      <c r="C49" s="99">
        <v>39241000</v>
      </c>
      <c r="D49" s="99" t="s">
        <v>73</v>
      </c>
      <c r="E49" s="100">
        <v>102.17</v>
      </c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11"/>
    </row>
    <row r="50" spans="1:26" ht="19.5" customHeight="1" x14ac:dyDescent="0.3">
      <c r="A50" s="4"/>
      <c r="B50" s="4"/>
      <c r="C50" s="99">
        <v>39249000</v>
      </c>
      <c r="D50" s="99" t="s">
        <v>73</v>
      </c>
      <c r="E50" s="100">
        <v>102.17</v>
      </c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11"/>
    </row>
    <row r="51" spans="1:26" ht="19.5" customHeight="1" x14ac:dyDescent="0.3">
      <c r="A51" s="4"/>
      <c r="B51" s="4"/>
      <c r="C51" s="99">
        <v>39251000</v>
      </c>
      <c r="D51" s="99" t="s">
        <v>73</v>
      </c>
      <c r="E51" s="100">
        <v>70.930000000000007</v>
      </c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11"/>
    </row>
    <row r="52" spans="1:26" ht="19.5" customHeight="1" x14ac:dyDescent="0.3">
      <c r="A52" s="4"/>
      <c r="B52" s="4"/>
      <c r="C52" s="99">
        <v>39252000</v>
      </c>
      <c r="D52" s="99" t="s">
        <v>73</v>
      </c>
      <c r="E52" s="100">
        <v>70.930000000000007</v>
      </c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11"/>
    </row>
    <row r="53" spans="1:26" ht="19.5" customHeight="1" x14ac:dyDescent="0.3">
      <c r="A53" s="4"/>
      <c r="B53" s="4"/>
      <c r="C53" s="99">
        <v>39259090</v>
      </c>
      <c r="D53" s="99" t="s">
        <v>73</v>
      </c>
      <c r="E53" s="100">
        <v>70.930000000000007</v>
      </c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11"/>
    </row>
    <row r="54" spans="1:26" ht="19.5" customHeight="1" x14ac:dyDescent="0.3">
      <c r="A54" s="4"/>
      <c r="B54" s="4"/>
      <c r="C54" s="99">
        <v>40021919</v>
      </c>
      <c r="D54" s="99" t="s">
        <v>73</v>
      </c>
      <c r="E54" s="100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11"/>
    </row>
    <row r="55" spans="1:26" ht="19.5" customHeight="1" x14ac:dyDescent="0.3">
      <c r="A55" s="4"/>
      <c r="B55" s="4"/>
      <c r="C55" s="99">
        <v>40059190</v>
      </c>
      <c r="D55" s="99" t="s">
        <v>73</v>
      </c>
      <c r="E55" s="100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11"/>
    </row>
    <row r="56" spans="1:26" ht="19.5" customHeight="1" x14ac:dyDescent="0.3">
      <c r="A56" s="4"/>
      <c r="B56" s="4"/>
      <c r="C56" s="99">
        <v>40069000</v>
      </c>
      <c r="D56" s="99" t="s">
        <v>73</v>
      </c>
      <c r="E56" s="100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11"/>
    </row>
    <row r="57" spans="1:26" ht="19.5" customHeight="1" x14ac:dyDescent="0.3">
      <c r="A57" s="4"/>
      <c r="B57" s="4"/>
      <c r="C57" s="99">
        <v>40151900</v>
      </c>
      <c r="D57" s="99" t="s">
        <v>73</v>
      </c>
      <c r="E57" s="100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11"/>
    </row>
    <row r="58" spans="1:26" ht="19.5" customHeight="1" x14ac:dyDescent="0.3">
      <c r="A58" s="4"/>
      <c r="B58" s="4"/>
      <c r="C58" s="99">
        <v>40169300</v>
      </c>
      <c r="D58" s="99" t="s">
        <v>73</v>
      </c>
      <c r="E58" s="100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11"/>
    </row>
    <row r="59" spans="1:26" ht="19.5" customHeight="1" x14ac:dyDescent="0.3">
      <c r="A59" s="4"/>
      <c r="B59" s="4"/>
      <c r="C59" s="99">
        <v>42021220</v>
      </c>
      <c r="D59" s="99" t="s">
        <v>73</v>
      </c>
      <c r="E59" s="100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11"/>
    </row>
    <row r="60" spans="1:26" ht="19.5" customHeight="1" x14ac:dyDescent="0.3">
      <c r="A60" s="4"/>
      <c r="B60" s="4"/>
      <c r="C60" s="99">
        <v>42032900</v>
      </c>
      <c r="D60" s="99" t="s">
        <v>73</v>
      </c>
      <c r="E60" s="100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11"/>
    </row>
    <row r="61" spans="1:26" ht="19.5" customHeight="1" x14ac:dyDescent="0.3">
      <c r="A61" s="4"/>
      <c r="B61" s="4"/>
      <c r="C61" s="99">
        <v>44072990</v>
      </c>
      <c r="D61" s="99" t="s">
        <v>73</v>
      </c>
      <c r="E61" s="100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11"/>
    </row>
    <row r="62" spans="1:26" ht="19.5" customHeight="1" x14ac:dyDescent="0.3">
      <c r="A62" s="4"/>
      <c r="B62" s="4"/>
      <c r="C62" s="99">
        <v>44111490</v>
      </c>
      <c r="D62" s="99" t="s">
        <v>73</v>
      </c>
      <c r="E62" s="100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11"/>
    </row>
    <row r="63" spans="1:26" ht="19.5" customHeight="1" x14ac:dyDescent="0.3">
      <c r="A63" s="4"/>
      <c r="B63" s="4"/>
      <c r="C63" s="99">
        <v>44191900</v>
      </c>
      <c r="D63" s="99" t="s">
        <v>73</v>
      </c>
      <c r="E63" s="100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11"/>
    </row>
    <row r="64" spans="1:26" ht="19.5" customHeight="1" x14ac:dyDescent="0.3">
      <c r="A64" s="4"/>
      <c r="B64" s="4"/>
      <c r="C64" s="99">
        <v>48101490</v>
      </c>
      <c r="D64" s="99" t="s">
        <v>73</v>
      </c>
      <c r="E64" s="100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11"/>
    </row>
    <row r="65" spans="1:26" ht="19.5" customHeight="1" x14ac:dyDescent="0.3">
      <c r="A65" s="4"/>
      <c r="B65" s="4"/>
      <c r="C65" s="99">
        <v>48219000</v>
      </c>
      <c r="D65" s="99" t="s">
        <v>73</v>
      </c>
      <c r="E65" s="100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11"/>
    </row>
    <row r="66" spans="1:26" ht="19.5" customHeight="1" x14ac:dyDescent="0.3">
      <c r="A66" s="4"/>
      <c r="B66" s="4"/>
      <c r="C66" s="99">
        <v>49111090</v>
      </c>
      <c r="D66" s="99" t="s">
        <v>73</v>
      </c>
      <c r="E66" s="100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11"/>
    </row>
    <row r="67" spans="1:26" ht="19.5" customHeight="1" x14ac:dyDescent="0.3">
      <c r="A67" s="4"/>
      <c r="B67" s="4"/>
      <c r="C67" s="99">
        <v>49119100</v>
      </c>
      <c r="D67" s="99" t="s">
        <v>73</v>
      </c>
      <c r="E67" s="100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11"/>
    </row>
    <row r="68" spans="1:26" ht="19.5" customHeight="1" x14ac:dyDescent="0.3">
      <c r="A68" s="4"/>
      <c r="B68" s="4"/>
      <c r="C68" s="99">
        <v>49119900</v>
      </c>
      <c r="D68" s="99" t="s">
        <v>73</v>
      </c>
      <c r="E68" s="100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11"/>
    </row>
    <row r="69" spans="1:26" ht="19.5" customHeight="1" x14ac:dyDescent="0.3">
      <c r="A69" s="4"/>
      <c r="B69" s="4"/>
      <c r="C69" s="99">
        <v>59090000</v>
      </c>
      <c r="D69" s="99" t="s">
        <v>73</v>
      </c>
      <c r="E69" s="100">
        <v>54.88</v>
      </c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11"/>
    </row>
    <row r="70" spans="1:26" ht="19.5" customHeight="1" x14ac:dyDescent="0.3">
      <c r="A70" s="4"/>
      <c r="B70" s="4"/>
      <c r="C70" s="99">
        <v>61169900</v>
      </c>
      <c r="D70" s="99" t="s">
        <v>73</v>
      </c>
      <c r="E70" s="100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11"/>
    </row>
    <row r="71" spans="1:26" ht="19.5" customHeight="1" x14ac:dyDescent="0.3">
      <c r="A71" s="4"/>
      <c r="B71" s="4"/>
      <c r="C71" s="99">
        <v>63072000</v>
      </c>
      <c r="D71" s="99" t="s">
        <v>73</v>
      </c>
      <c r="E71" s="100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11"/>
    </row>
    <row r="72" spans="1:26" ht="19.5" customHeight="1" x14ac:dyDescent="0.3">
      <c r="A72" s="4"/>
      <c r="B72" s="4"/>
      <c r="C72" s="99">
        <v>63079010</v>
      </c>
      <c r="D72" s="99" t="s">
        <v>73</v>
      </c>
      <c r="E72" s="100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11"/>
    </row>
    <row r="73" spans="1:26" ht="19.5" customHeight="1" x14ac:dyDescent="0.3">
      <c r="A73" s="4"/>
      <c r="B73" s="4"/>
      <c r="C73" s="99">
        <v>64039990</v>
      </c>
      <c r="D73" s="99" t="s">
        <v>73</v>
      </c>
      <c r="E73" s="100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11"/>
    </row>
    <row r="74" spans="1:26" ht="19.5" customHeight="1" x14ac:dyDescent="0.3">
      <c r="A74" s="4"/>
      <c r="B74" s="4"/>
      <c r="C74" s="99">
        <v>68042119</v>
      </c>
      <c r="D74" s="99" t="s">
        <v>73</v>
      </c>
      <c r="E74" s="100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11"/>
    </row>
    <row r="75" spans="1:26" ht="19.5" customHeight="1" x14ac:dyDescent="0.3">
      <c r="A75" s="4"/>
      <c r="B75" s="4"/>
      <c r="C75" s="99">
        <v>68042211</v>
      </c>
      <c r="D75" s="99" t="s">
        <v>73</v>
      </c>
      <c r="E75" s="100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11"/>
    </row>
    <row r="76" spans="1:26" ht="19.5" customHeight="1" x14ac:dyDescent="0.3">
      <c r="A76" s="4"/>
      <c r="B76" s="4"/>
      <c r="C76" s="99">
        <v>68051000</v>
      </c>
      <c r="D76" s="99" t="s">
        <v>73</v>
      </c>
      <c r="E76" s="100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11"/>
    </row>
    <row r="77" spans="1:26" ht="19.5" customHeight="1" x14ac:dyDescent="0.3">
      <c r="A77" s="4"/>
      <c r="B77" s="4"/>
      <c r="C77" s="99">
        <v>68052000</v>
      </c>
      <c r="D77" s="99" t="s">
        <v>73</v>
      </c>
      <c r="E77" s="100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11"/>
    </row>
    <row r="78" spans="1:26" ht="19.5" customHeight="1" x14ac:dyDescent="0.3">
      <c r="A78" s="4"/>
      <c r="B78" s="4"/>
      <c r="C78" s="99">
        <v>68053010</v>
      </c>
      <c r="D78" s="99" t="s">
        <v>73</v>
      </c>
      <c r="E78" s="100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11"/>
    </row>
    <row r="79" spans="1:26" ht="19.5" customHeight="1" x14ac:dyDescent="0.3">
      <c r="A79" s="4"/>
      <c r="B79" s="4"/>
      <c r="C79" s="99">
        <v>68053090</v>
      </c>
      <c r="D79" s="99" t="s">
        <v>73</v>
      </c>
      <c r="E79" s="100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11"/>
    </row>
    <row r="80" spans="1:26" ht="19.5" customHeight="1" x14ac:dyDescent="0.3">
      <c r="A80" s="4"/>
      <c r="B80" s="4"/>
      <c r="C80" s="99">
        <v>68069010</v>
      </c>
      <c r="D80" s="99" t="s">
        <v>73</v>
      </c>
      <c r="E80" s="100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11"/>
    </row>
    <row r="81" spans="1:26" ht="19.5" customHeight="1" x14ac:dyDescent="0.3">
      <c r="A81" s="4"/>
      <c r="B81" s="4"/>
      <c r="C81" s="99">
        <v>68091100</v>
      </c>
      <c r="D81" s="99" t="s">
        <v>73</v>
      </c>
      <c r="E81" s="100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11"/>
    </row>
    <row r="82" spans="1:26" ht="19.5" customHeight="1" x14ac:dyDescent="0.3">
      <c r="A82" s="4"/>
      <c r="B82" s="4"/>
      <c r="C82" s="99">
        <v>69109000</v>
      </c>
      <c r="D82" s="99" t="s">
        <v>73</v>
      </c>
      <c r="E82" s="100">
        <v>63.9</v>
      </c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11"/>
    </row>
    <row r="83" spans="1:26" ht="19.5" customHeight="1" x14ac:dyDescent="0.3">
      <c r="A83" s="4"/>
      <c r="B83" s="4"/>
      <c r="C83" s="99">
        <v>70049000</v>
      </c>
      <c r="D83" s="99" t="s">
        <v>73</v>
      </c>
      <c r="E83" s="100">
        <v>135.32</v>
      </c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11"/>
    </row>
    <row r="84" spans="1:26" ht="19.5" customHeight="1" x14ac:dyDescent="0.3">
      <c r="A84" s="4"/>
      <c r="B84" s="4"/>
      <c r="C84" s="99">
        <v>70052900</v>
      </c>
      <c r="D84" s="99" t="s">
        <v>73</v>
      </c>
      <c r="E84" s="100">
        <v>135.32</v>
      </c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11"/>
    </row>
    <row r="85" spans="1:26" ht="19.5" customHeight="1" x14ac:dyDescent="0.3">
      <c r="A85" s="4"/>
      <c r="B85" s="4"/>
      <c r="C85" s="99">
        <v>70099200</v>
      </c>
      <c r="D85" s="99" t="s">
        <v>73</v>
      </c>
      <c r="E85" s="100">
        <v>135.32</v>
      </c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11"/>
    </row>
    <row r="86" spans="1:26" ht="19.5" customHeight="1" x14ac:dyDescent="0.3">
      <c r="A86" s="4"/>
      <c r="B86" s="4"/>
      <c r="C86" s="99">
        <v>70119000</v>
      </c>
      <c r="D86" s="99" t="s">
        <v>73</v>
      </c>
      <c r="E86" s="100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11"/>
    </row>
    <row r="87" spans="1:26" ht="19.5" customHeight="1" x14ac:dyDescent="0.3">
      <c r="A87" s="4"/>
      <c r="B87" s="4"/>
      <c r="C87" s="99">
        <v>70139110</v>
      </c>
      <c r="D87" s="99" t="s">
        <v>73</v>
      </c>
      <c r="E87" s="100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11"/>
    </row>
    <row r="88" spans="1:26" ht="19.5" customHeight="1" x14ac:dyDescent="0.3">
      <c r="A88" s="4"/>
      <c r="B88" s="4"/>
      <c r="C88" s="99">
        <v>72149990</v>
      </c>
      <c r="D88" s="99" t="s">
        <v>73</v>
      </c>
      <c r="E88" s="100">
        <v>65.069999999999993</v>
      </c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11"/>
    </row>
    <row r="89" spans="1:26" ht="19.5" customHeight="1" x14ac:dyDescent="0.3">
      <c r="A89" s="4"/>
      <c r="B89" s="4"/>
      <c r="C89" s="99">
        <v>72162200</v>
      </c>
      <c r="D89" s="99" t="s">
        <v>73</v>
      </c>
      <c r="E89" s="100">
        <v>70.59</v>
      </c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11"/>
    </row>
    <row r="90" spans="1:26" ht="19.5" customHeight="1" x14ac:dyDescent="0.3">
      <c r="A90" s="4"/>
      <c r="B90" s="4"/>
      <c r="C90" s="99">
        <v>72166110</v>
      </c>
      <c r="D90" s="99" t="s">
        <v>73</v>
      </c>
      <c r="E90" s="100">
        <v>70.59</v>
      </c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11"/>
    </row>
    <row r="91" spans="1:26" ht="19.5" customHeight="1" x14ac:dyDescent="0.3">
      <c r="A91" s="4"/>
      <c r="B91" s="4"/>
      <c r="C91" s="99">
        <v>72179000</v>
      </c>
      <c r="D91" s="99" t="s">
        <v>73</v>
      </c>
      <c r="E91" s="100">
        <v>68.59</v>
      </c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11"/>
    </row>
    <row r="92" spans="1:26" ht="19.5" customHeight="1" x14ac:dyDescent="0.3">
      <c r="A92" s="4"/>
      <c r="B92" s="4"/>
      <c r="C92" s="99">
        <v>72230000</v>
      </c>
      <c r="D92" s="99" t="s">
        <v>73</v>
      </c>
      <c r="E92" s="100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11"/>
    </row>
    <row r="93" spans="1:26" ht="19.5" customHeight="1" x14ac:dyDescent="0.3">
      <c r="A93" s="4"/>
      <c r="B93" s="4"/>
      <c r="C93" s="99">
        <v>73063000</v>
      </c>
      <c r="D93" s="99" t="s">
        <v>73</v>
      </c>
      <c r="E93" s="100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11"/>
    </row>
    <row r="94" spans="1:26" ht="19.5" customHeight="1" x14ac:dyDescent="0.3">
      <c r="A94" s="4"/>
      <c r="B94" s="4"/>
      <c r="C94" s="99">
        <v>73071920</v>
      </c>
      <c r="D94" s="99" t="s">
        <v>73</v>
      </c>
      <c r="E94" s="100">
        <v>60.39</v>
      </c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11"/>
    </row>
    <row r="95" spans="1:26" ht="19.5" customHeight="1" x14ac:dyDescent="0.3">
      <c r="A95" s="4"/>
      <c r="B95" s="4"/>
      <c r="C95" s="99">
        <v>73072300</v>
      </c>
      <c r="D95" s="99" t="s">
        <v>73</v>
      </c>
      <c r="E95" s="100">
        <v>60.39</v>
      </c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11"/>
    </row>
    <row r="96" spans="1:26" ht="19.5" customHeight="1" x14ac:dyDescent="0.3">
      <c r="A96" s="4"/>
      <c r="B96" s="4"/>
      <c r="C96" s="99">
        <v>73079200</v>
      </c>
      <c r="D96" s="99" t="s">
        <v>73</v>
      </c>
      <c r="E96" s="100">
        <v>60.39</v>
      </c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11"/>
    </row>
    <row r="97" spans="1:26" ht="19.5" customHeight="1" x14ac:dyDescent="0.3">
      <c r="A97" s="4"/>
      <c r="B97" s="4"/>
      <c r="C97" s="99">
        <v>73079900</v>
      </c>
      <c r="D97" s="99" t="s">
        <v>73</v>
      </c>
      <c r="E97" s="100">
        <v>60.39</v>
      </c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11"/>
    </row>
    <row r="98" spans="1:26" ht="19.5" customHeight="1" x14ac:dyDescent="0.3">
      <c r="A98" s="4"/>
      <c r="B98" s="4"/>
      <c r="C98" s="99">
        <v>73089010</v>
      </c>
      <c r="D98" s="99" t="s">
        <v>73</v>
      </c>
      <c r="E98" s="100">
        <v>60.39</v>
      </c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11"/>
    </row>
    <row r="99" spans="1:26" ht="19.5" customHeight="1" x14ac:dyDescent="0.3">
      <c r="A99" s="4"/>
      <c r="B99" s="4"/>
      <c r="C99" s="99">
        <v>73089090</v>
      </c>
      <c r="D99" s="99" t="s">
        <v>73</v>
      </c>
      <c r="E99" s="100">
        <v>60.39</v>
      </c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11"/>
    </row>
    <row r="100" spans="1:26" ht="19.5" customHeight="1" x14ac:dyDescent="0.3">
      <c r="A100" s="4"/>
      <c r="B100" s="4"/>
      <c r="C100" s="99">
        <v>73121090</v>
      </c>
      <c r="D100" s="99" t="s">
        <v>73</v>
      </c>
      <c r="E100" s="100">
        <v>68.59</v>
      </c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11"/>
    </row>
    <row r="101" spans="1:26" ht="19.5" customHeight="1" x14ac:dyDescent="0.3">
      <c r="A101" s="4"/>
      <c r="B101" s="4"/>
      <c r="C101" s="99">
        <v>73158200</v>
      </c>
      <c r="D101" s="99" t="s">
        <v>73</v>
      </c>
      <c r="E101" s="100">
        <v>135.32</v>
      </c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11"/>
    </row>
    <row r="102" spans="1:26" ht="19.5" customHeight="1" x14ac:dyDescent="0.3">
      <c r="A102" s="4"/>
      <c r="B102" s="4"/>
      <c r="C102" s="99">
        <v>73170090</v>
      </c>
      <c r="D102" s="99" t="s">
        <v>73</v>
      </c>
      <c r="E102" s="100">
        <v>68.59</v>
      </c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11"/>
    </row>
    <row r="103" spans="1:26" ht="19.5" customHeight="1" x14ac:dyDescent="0.3">
      <c r="A103" s="4"/>
      <c r="B103" s="4"/>
      <c r="C103" s="99">
        <v>73181200</v>
      </c>
      <c r="D103" s="99" t="s">
        <v>73</v>
      </c>
      <c r="E103" s="100">
        <v>76.78</v>
      </c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11"/>
    </row>
    <row r="104" spans="1:26" ht="19.5" customHeight="1" x14ac:dyDescent="0.3">
      <c r="A104" s="4"/>
      <c r="B104" s="4"/>
      <c r="C104" s="99">
        <v>73181400</v>
      </c>
      <c r="D104" s="99" t="s">
        <v>73</v>
      </c>
      <c r="E104" s="100">
        <v>76.78</v>
      </c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11"/>
    </row>
    <row r="105" spans="1:26" ht="19.5" customHeight="1" x14ac:dyDescent="0.3">
      <c r="A105" s="4"/>
      <c r="B105" s="4"/>
      <c r="C105" s="99">
        <v>73181500</v>
      </c>
      <c r="D105" s="99" t="s">
        <v>73</v>
      </c>
      <c r="E105" s="100">
        <v>76.78</v>
      </c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11"/>
    </row>
    <row r="106" spans="1:26" ht="19.5" customHeight="1" x14ac:dyDescent="0.3">
      <c r="A106" s="4"/>
      <c r="B106" s="4"/>
      <c r="C106" s="99">
        <v>73181600</v>
      </c>
      <c r="D106" s="99" t="s">
        <v>73</v>
      </c>
      <c r="E106" s="100">
        <v>76.78</v>
      </c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11"/>
    </row>
    <row r="107" spans="1:26" ht="19.5" customHeight="1" x14ac:dyDescent="0.3">
      <c r="A107" s="4"/>
      <c r="B107" s="4"/>
      <c r="C107" s="99">
        <v>73181900</v>
      </c>
      <c r="D107" s="99" t="s">
        <v>73</v>
      </c>
      <c r="E107" s="100">
        <v>76.78</v>
      </c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11"/>
    </row>
    <row r="108" spans="1:26" ht="19.5" customHeight="1" x14ac:dyDescent="0.3">
      <c r="A108" s="4"/>
      <c r="B108" s="4"/>
      <c r="C108" s="99">
        <v>73182100</v>
      </c>
      <c r="D108" s="99" t="s">
        <v>73</v>
      </c>
      <c r="E108" s="100">
        <v>76.78</v>
      </c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11"/>
    </row>
    <row r="109" spans="1:26" ht="19.5" customHeight="1" x14ac:dyDescent="0.3">
      <c r="A109" s="4"/>
      <c r="B109" s="4"/>
      <c r="C109" s="99">
        <v>73182200</v>
      </c>
      <c r="D109" s="99" t="s">
        <v>73</v>
      </c>
      <c r="E109" s="100">
        <v>76.78</v>
      </c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11"/>
    </row>
    <row r="110" spans="1:26" ht="19.5" customHeight="1" x14ac:dyDescent="0.3">
      <c r="A110" s="4"/>
      <c r="B110" s="4"/>
      <c r="C110" s="99">
        <v>73209000</v>
      </c>
      <c r="D110" s="99" t="s">
        <v>73</v>
      </c>
      <c r="E110" s="100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11"/>
    </row>
    <row r="111" spans="1:26" ht="19.5" customHeight="1" x14ac:dyDescent="0.3">
      <c r="A111" s="4"/>
      <c r="B111" s="4"/>
      <c r="C111" s="99">
        <v>73259990</v>
      </c>
      <c r="D111" s="99" t="s">
        <v>73</v>
      </c>
      <c r="E111" s="100">
        <v>117.76</v>
      </c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11"/>
    </row>
    <row r="112" spans="1:26" ht="19.5" customHeight="1" x14ac:dyDescent="0.3">
      <c r="A112" s="4"/>
      <c r="B112" s="4"/>
      <c r="C112" s="99">
        <v>73261900</v>
      </c>
      <c r="D112" s="99" t="s">
        <v>73</v>
      </c>
      <c r="E112" s="100">
        <v>110.73</v>
      </c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11"/>
    </row>
    <row r="113" spans="1:26" ht="19.5" customHeight="1" x14ac:dyDescent="0.3">
      <c r="A113" s="4"/>
      <c r="B113" s="4"/>
      <c r="C113" s="99">
        <v>73262000</v>
      </c>
      <c r="D113" s="99" t="s">
        <v>73</v>
      </c>
      <c r="E113" s="100">
        <v>110.73</v>
      </c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11"/>
    </row>
    <row r="114" spans="1:26" ht="19.5" customHeight="1" x14ac:dyDescent="0.3">
      <c r="A114" s="4"/>
      <c r="B114" s="4"/>
      <c r="C114" s="99">
        <v>73269090</v>
      </c>
      <c r="D114" s="99" t="s">
        <v>73</v>
      </c>
      <c r="E114" s="100">
        <v>110.73</v>
      </c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11"/>
    </row>
    <row r="115" spans="1:26" ht="19.5" customHeight="1" x14ac:dyDescent="0.3">
      <c r="A115" s="4"/>
      <c r="B115" s="4"/>
      <c r="C115" s="99">
        <v>74071010</v>
      </c>
      <c r="D115" s="99" t="s">
        <v>73</v>
      </c>
      <c r="E115" s="100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11"/>
    </row>
    <row r="116" spans="1:26" ht="19.5" customHeight="1" x14ac:dyDescent="0.3">
      <c r="A116" s="4"/>
      <c r="B116" s="4"/>
      <c r="C116" s="99">
        <v>74072910</v>
      </c>
      <c r="D116" s="99" t="s">
        <v>73</v>
      </c>
      <c r="E116" s="100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11"/>
    </row>
    <row r="117" spans="1:26" ht="19.5" customHeight="1" x14ac:dyDescent="0.3">
      <c r="A117" s="4"/>
      <c r="B117" s="4"/>
      <c r="C117" s="99">
        <v>74092100</v>
      </c>
      <c r="D117" s="99" t="s">
        <v>73</v>
      </c>
      <c r="E117" s="100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11"/>
    </row>
    <row r="118" spans="1:26" ht="19.5" customHeight="1" x14ac:dyDescent="0.3">
      <c r="A118" s="4"/>
      <c r="B118" s="4"/>
      <c r="C118" s="99">
        <v>74130000</v>
      </c>
      <c r="D118" s="99" t="s">
        <v>73</v>
      </c>
      <c r="E118" s="100">
        <v>89.97</v>
      </c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11"/>
    </row>
    <row r="119" spans="1:26" ht="19.5" customHeight="1" x14ac:dyDescent="0.3">
      <c r="A119" s="4"/>
      <c r="B119" s="4"/>
      <c r="C119" s="99">
        <v>74153300</v>
      </c>
      <c r="D119" s="99" t="s">
        <v>73</v>
      </c>
      <c r="E119" s="100">
        <v>89.66</v>
      </c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11"/>
    </row>
    <row r="120" spans="1:26" ht="19.5" customHeight="1" x14ac:dyDescent="0.3">
      <c r="A120" s="4"/>
      <c r="B120" s="4"/>
      <c r="C120" s="99">
        <v>74199990</v>
      </c>
      <c r="D120" s="99" t="s">
        <v>73</v>
      </c>
      <c r="E120" s="100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11"/>
    </row>
    <row r="121" spans="1:26" ht="19.5" customHeight="1" x14ac:dyDescent="0.3">
      <c r="A121" s="4"/>
      <c r="B121" s="4"/>
      <c r="C121" s="99">
        <v>76041029</v>
      </c>
      <c r="D121" s="99" t="s">
        <v>73</v>
      </c>
      <c r="E121" s="100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11"/>
    </row>
    <row r="122" spans="1:26" ht="19.5" customHeight="1" x14ac:dyDescent="0.3">
      <c r="A122" s="4"/>
      <c r="B122" s="4"/>
      <c r="C122" s="99">
        <v>76042920</v>
      </c>
      <c r="D122" s="99" t="s">
        <v>73</v>
      </c>
      <c r="E122" s="100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11"/>
    </row>
    <row r="123" spans="1:26" ht="19.5" customHeight="1" x14ac:dyDescent="0.3">
      <c r="A123" s="4"/>
      <c r="B123" s="4"/>
      <c r="C123" s="99">
        <v>76052190</v>
      </c>
      <c r="D123" s="99" t="s">
        <v>73</v>
      </c>
      <c r="E123" s="100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11"/>
    </row>
    <row r="124" spans="1:26" ht="19.5" customHeight="1" x14ac:dyDescent="0.3">
      <c r="A124" s="4"/>
      <c r="B124" s="4"/>
      <c r="C124" s="99">
        <v>76061190</v>
      </c>
      <c r="D124" s="99" t="s">
        <v>73</v>
      </c>
      <c r="E124" s="100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11"/>
    </row>
    <row r="125" spans="1:26" ht="19.5" customHeight="1" x14ac:dyDescent="0.3">
      <c r="A125" s="4"/>
      <c r="B125" s="4"/>
      <c r="C125" s="99">
        <v>76082090</v>
      </c>
      <c r="D125" s="99" t="s">
        <v>73</v>
      </c>
      <c r="E125" s="100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11"/>
    </row>
    <row r="126" spans="1:26" ht="19.5" customHeight="1" x14ac:dyDescent="0.3">
      <c r="A126" s="4"/>
      <c r="B126" s="4"/>
      <c r="C126" s="99">
        <v>76090000</v>
      </c>
      <c r="D126" s="99" t="s">
        <v>73</v>
      </c>
      <c r="E126" s="100">
        <v>94.34</v>
      </c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11"/>
    </row>
    <row r="127" spans="1:26" ht="19.5" customHeight="1" x14ac:dyDescent="0.3">
      <c r="A127" s="4"/>
      <c r="B127" s="4"/>
      <c r="C127" s="99">
        <v>76161000</v>
      </c>
      <c r="D127" s="99" t="s">
        <v>73</v>
      </c>
      <c r="E127" s="100">
        <v>69.760000000000005</v>
      </c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11"/>
    </row>
    <row r="128" spans="1:26" ht="19.5" customHeight="1" x14ac:dyDescent="0.3">
      <c r="A128" s="4"/>
      <c r="B128" s="4"/>
      <c r="C128" s="99">
        <v>76169900</v>
      </c>
      <c r="D128" s="99" t="s">
        <v>73</v>
      </c>
      <c r="E128" s="100">
        <v>69.760000000000005</v>
      </c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11"/>
    </row>
    <row r="129" spans="1:26" ht="19.5" customHeight="1" x14ac:dyDescent="0.3">
      <c r="A129" s="4"/>
      <c r="B129" s="4"/>
      <c r="C129" s="99">
        <v>79070010</v>
      </c>
      <c r="D129" s="99" t="s">
        <v>73</v>
      </c>
      <c r="E129" s="100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11"/>
    </row>
    <row r="130" spans="1:26" ht="19.5" customHeight="1" x14ac:dyDescent="0.3">
      <c r="A130" s="4"/>
      <c r="B130" s="4"/>
      <c r="C130" s="99">
        <v>80012000</v>
      </c>
      <c r="D130" s="99" t="s">
        <v>73</v>
      </c>
      <c r="E130" s="100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11"/>
    </row>
    <row r="131" spans="1:26" ht="19.5" customHeight="1" x14ac:dyDescent="0.3">
      <c r="A131" s="4"/>
      <c r="B131" s="4"/>
      <c r="C131" s="99">
        <v>82029990</v>
      </c>
      <c r="D131" s="99" t="s">
        <v>73</v>
      </c>
      <c r="E131" s="100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11"/>
    </row>
    <row r="132" spans="1:26" ht="19.5" customHeight="1" x14ac:dyDescent="0.3">
      <c r="A132" s="4"/>
      <c r="B132" s="4"/>
      <c r="C132" s="99">
        <v>82032010</v>
      </c>
      <c r="D132" s="99" t="s">
        <v>73</v>
      </c>
      <c r="E132" s="100">
        <v>83.63</v>
      </c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11"/>
    </row>
    <row r="133" spans="1:26" ht="19.5" customHeight="1" x14ac:dyDescent="0.3">
      <c r="A133" s="4"/>
      <c r="B133" s="4"/>
      <c r="C133" s="99">
        <v>82041100</v>
      </c>
      <c r="D133" s="99" t="s">
        <v>73</v>
      </c>
      <c r="E133" s="100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11"/>
    </row>
    <row r="134" spans="1:26" ht="19.5" customHeight="1" x14ac:dyDescent="0.3">
      <c r="A134" s="4"/>
      <c r="B134" s="4"/>
      <c r="C134" s="99">
        <v>82041200</v>
      </c>
      <c r="D134" s="99" t="s">
        <v>73</v>
      </c>
      <c r="E134" s="100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11"/>
    </row>
    <row r="135" spans="1:26" ht="19.5" customHeight="1" x14ac:dyDescent="0.3">
      <c r="A135" s="4"/>
      <c r="B135" s="4"/>
      <c r="C135" s="99">
        <v>82051000</v>
      </c>
      <c r="D135" s="99" t="s">
        <v>73</v>
      </c>
      <c r="E135" s="100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11"/>
    </row>
    <row r="136" spans="1:26" ht="19.5" customHeight="1" x14ac:dyDescent="0.3">
      <c r="A136" s="4"/>
      <c r="B136" s="4"/>
      <c r="C136" s="99">
        <v>82054000</v>
      </c>
      <c r="D136" s="99" t="s">
        <v>73</v>
      </c>
      <c r="E136" s="100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11"/>
    </row>
    <row r="137" spans="1:26" ht="19.5" customHeight="1" x14ac:dyDescent="0.3">
      <c r="A137" s="4"/>
      <c r="B137" s="4"/>
      <c r="C137" s="99">
        <v>82060000</v>
      </c>
      <c r="D137" s="99" t="s">
        <v>73</v>
      </c>
      <c r="E137" s="100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11"/>
    </row>
    <row r="138" spans="1:26" ht="19.5" customHeight="1" x14ac:dyDescent="0.3">
      <c r="A138" s="4"/>
      <c r="B138" s="4"/>
      <c r="C138" s="99">
        <v>82074020</v>
      </c>
      <c r="D138" s="99" t="s">
        <v>73</v>
      </c>
      <c r="E138" s="100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11"/>
    </row>
    <row r="139" spans="1:26" ht="19.5" customHeight="1" x14ac:dyDescent="0.3">
      <c r="A139" s="4"/>
      <c r="B139" s="4"/>
      <c r="C139" s="99">
        <v>82075011</v>
      </c>
      <c r="D139" s="99" t="s">
        <v>73</v>
      </c>
      <c r="E139" s="100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11"/>
    </row>
    <row r="140" spans="1:26" ht="19.5" customHeight="1" x14ac:dyDescent="0.3">
      <c r="A140" s="4"/>
      <c r="B140" s="4"/>
      <c r="C140" s="99">
        <v>82075019</v>
      </c>
      <c r="D140" s="99" t="s">
        <v>73</v>
      </c>
      <c r="E140" s="100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11"/>
    </row>
    <row r="141" spans="1:26" ht="19.5" customHeight="1" x14ac:dyDescent="0.3">
      <c r="A141" s="4"/>
      <c r="B141" s="4"/>
      <c r="C141" s="99">
        <v>82119390</v>
      </c>
      <c r="D141" s="99" t="s">
        <v>73</v>
      </c>
      <c r="E141" s="100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11"/>
    </row>
    <row r="142" spans="1:26" ht="19.5" customHeight="1" x14ac:dyDescent="0.3">
      <c r="A142" s="4"/>
      <c r="B142" s="4"/>
      <c r="C142" s="99">
        <v>82359090</v>
      </c>
      <c r="D142" s="99" t="s">
        <v>73</v>
      </c>
      <c r="E142" s="100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11"/>
    </row>
    <row r="143" spans="1:26" ht="19.5" customHeight="1" x14ac:dyDescent="0.3">
      <c r="A143" s="4"/>
      <c r="B143" s="4"/>
      <c r="C143" s="99">
        <v>83011000</v>
      </c>
      <c r="D143" s="99" t="s">
        <v>73</v>
      </c>
      <c r="E143" s="100">
        <v>80.290000000000006</v>
      </c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11"/>
    </row>
    <row r="144" spans="1:26" ht="19.5" customHeight="1" x14ac:dyDescent="0.3">
      <c r="A144" s="4"/>
      <c r="B144" s="4"/>
      <c r="C144" s="99">
        <v>83014000</v>
      </c>
      <c r="D144" s="99" t="s">
        <v>73</v>
      </c>
      <c r="E144" s="100">
        <v>80.290000000000006</v>
      </c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11"/>
    </row>
    <row r="145" spans="1:26" ht="19.5" customHeight="1" x14ac:dyDescent="0.3">
      <c r="A145" s="4"/>
      <c r="B145" s="4"/>
      <c r="C145" s="99">
        <v>83024900</v>
      </c>
      <c r="D145" s="99" t="s">
        <v>73</v>
      </c>
      <c r="E145" s="100">
        <v>72.099999999999994</v>
      </c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11"/>
    </row>
    <row r="146" spans="1:26" ht="19.5" customHeight="1" x14ac:dyDescent="0.3">
      <c r="A146" s="4"/>
      <c r="B146" s="4"/>
      <c r="C146" s="99">
        <v>83026000</v>
      </c>
      <c r="D146" s="99" t="s">
        <v>73</v>
      </c>
      <c r="E146" s="100">
        <v>72.099999999999994</v>
      </c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11"/>
    </row>
    <row r="147" spans="1:26" ht="19.5" customHeight="1" x14ac:dyDescent="0.3">
      <c r="A147" s="4"/>
      <c r="B147" s="4"/>
      <c r="C147" s="99">
        <v>83061000</v>
      </c>
      <c r="D147" s="99" t="s">
        <v>73</v>
      </c>
      <c r="E147" s="100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11"/>
    </row>
    <row r="148" spans="1:26" ht="19.5" customHeight="1" x14ac:dyDescent="0.3">
      <c r="A148" s="4"/>
      <c r="B148" s="4"/>
      <c r="C148" s="99">
        <v>83071090</v>
      </c>
      <c r="D148" s="99" t="s">
        <v>73</v>
      </c>
      <c r="E148" s="100">
        <v>89.66</v>
      </c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11"/>
    </row>
    <row r="149" spans="1:26" ht="19.5" customHeight="1" x14ac:dyDescent="0.3">
      <c r="A149" s="4"/>
      <c r="B149" s="4"/>
      <c r="C149" s="99">
        <v>83079000</v>
      </c>
      <c r="D149" s="99" t="s">
        <v>73</v>
      </c>
      <c r="E149" s="100">
        <v>89.66</v>
      </c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11"/>
    </row>
    <row r="150" spans="1:26" ht="19.5" customHeight="1" x14ac:dyDescent="0.3">
      <c r="A150" s="4"/>
      <c r="B150" s="4"/>
      <c r="C150" s="99">
        <v>83082000</v>
      </c>
      <c r="D150" s="99" t="s">
        <v>73</v>
      </c>
      <c r="E150" s="100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11"/>
    </row>
    <row r="151" spans="1:26" ht="19.5" customHeight="1" x14ac:dyDescent="0.3">
      <c r="A151" s="4"/>
      <c r="B151" s="4"/>
      <c r="C151" s="99">
        <v>83119000</v>
      </c>
      <c r="D151" s="99" t="s">
        <v>73</v>
      </c>
      <c r="E151" s="100">
        <v>87.32</v>
      </c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11"/>
    </row>
    <row r="152" spans="1:26" ht="19.5" customHeight="1" x14ac:dyDescent="0.3">
      <c r="A152" s="4"/>
      <c r="B152" s="4"/>
      <c r="C152" s="99">
        <v>84054010</v>
      </c>
      <c r="D152" s="99" t="s">
        <v>73</v>
      </c>
      <c r="E152" s="100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11"/>
    </row>
    <row r="153" spans="1:26" ht="19.5" customHeight="1" x14ac:dyDescent="0.3">
      <c r="A153" s="4"/>
      <c r="B153" s="4"/>
      <c r="C153" s="99">
        <v>84059000</v>
      </c>
      <c r="D153" s="99" t="s">
        <v>73</v>
      </c>
      <c r="E153" s="100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11"/>
    </row>
    <row r="154" spans="1:26" ht="19.5" customHeight="1" x14ac:dyDescent="0.3">
      <c r="A154" s="4"/>
      <c r="B154" s="4"/>
      <c r="C154" s="99">
        <v>84137080</v>
      </c>
      <c r="D154" s="99" t="s">
        <v>73</v>
      </c>
      <c r="E154" s="100">
        <v>51.76</v>
      </c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11"/>
    </row>
    <row r="155" spans="1:26" ht="19.5" customHeight="1" x14ac:dyDescent="0.3">
      <c r="A155" s="4"/>
      <c r="B155" s="4"/>
      <c r="C155" s="99">
        <v>84138100</v>
      </c>
      <c r="D155" s="99" t="s">
        <v>73</v>
      </c>
      <c r="E155" s="100">
        <v>51.76</v>
      </c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11"/>
    </row>
    <row r="156" spans="1:26" ht="19.5" customHeight="1" x14ac:dyDescent="0.3">
      <c r="A156" s="4"/>
      <c r="B156" s="4"/>
      <c r="C156" s="99">
        <v>84145120</v>
      </c>
      <c r="D156" s="99" t="s">
        <v>73</v>
      </c>
      <c r="E156" s="100">
        <v>69.75</v>
      </c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11"/>
    </row>
    <row r="157" spans="1:26" ht="19.5" customHeight="1" x14ac:dyDescent="0.3">
      <c r="A157" s="4"/>
      <c r="B157" s="4"/>
      <c r="C157" s="99">
        <v>84145190</v>
      </c>
      <c r="D157" s="99" t="s">
        <v>73</v>
      </c>
      <c r="E157" s="100">
        <v>69.75</v>
      </c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11"/>
    </row>
    <row r="158" spans="1:26" ht="19.5" customHeight="1" x14ac:dyDescent="0.3">
      <c r="A158" s="4"/>
      <c r="B158" s="4"/>
      <c r="C158" s="99">
        <v>84145910</v>
      </c>
      <c r="D158" s="99" t="s">
        <v>73</v>
      </c>
      <c r="E158" s="100">
        <v>69.75</v>
      </c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11"/>
    </row>
    <row r="159" spans="1:26" ht="19.5" customHeight="1" x14ac:dyDescent="0.3">
      <c r="A159" s="4"/>
      <c r="B159" s="4"/>
      <c r="C159" s="99">
        <v>84145990</v>
      </c>
      <c r="D159" s="99" t="s">
        <v>73</v>
      </c>
      <c r="E159" s="100">
        <v>69.75</v>
      </c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11"/>
    </row>
    <row r="160" spans="1:26" ht="19.5" customHeight="1" x14ac:dyDescent="0.3">
      <c r="A160" s="4"/>
      <c r="B160" s="4"/>
      <c r="C160" s="99">
        <v>84149020</v>
      </c>
      <c r="D160" s="99" t="s">
        <v>73</v>
      </c>
      <c r="E160" s="100">
        <v>69.75</v>
      </c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11"/>
    </row>
    <row r="161" spans="1:26" ht="19.5" customHeight="1" x14ac:dyDescent="0.3">
      <c r="A161" s="4"/>
      <c r="B161" s="4"/>
      <c r="C161" s="99">
        <v>84151011</v>
      </c>
      <c r="D161" s="99" t="s">
        <v>73</v>
      </c>
      <c r="E161" s="100">
        <v>69.75</v>
      </c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11"/>
    </row>
    <row r="162" spans="1:26" ht="19.5" customHeight="1" x14ac:dyDescent="0.3">
      <c r="A162" s="4"/>
      <c r="B162" s="4"/>
      <c r="C162" s="99">
        <v>84159010</v>
      </c>
      <c r="D162" s="99" t="s">
        <v>73</v>
      </c>
      <c r="E162" s="100">
        <v>69.75</v>
      </c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11"/>
    </row>
    <row r="163" spans="1:26" ht="19.5" customHeight="1" x14ac:dyDescent="0.3">
      <c r="A163" s="4"/>
      <c r="B163" s="4"/>
      <c r="C163" s="99">
        <v>84159020</v>
      </c>
      <c r="D163" s="99" t="s">
        <v>73</v>
      </c>
      <c r="E163" s="100">
        <v>69.75</v>
      </c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11"/>
    </row>
    <row r="164" spans="1:26" ht="19.5" customHeight="1" x14ac:dyDescent="0.3">
      <c r="A164" s="4"/>
      <c r="B164" s="4"/>
      <c r="C164" s="99">
        <v>84193900</v>
      </c>
      <c r="D164" s="99" t="s">
        <v>73</v>
      </c>
      <c r="E164" s="100">
        <v>59.88</v>
      </c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11"/>
    </row>
    <row r="165" spans="1:26" ht="19.5" customHeight="1" x14ac:dyDescent="0.3">
      <c r="A165" s="4"/>
      <c r="B165" s="4"/>
      <c r="C165" s="99">
        <v>84231000</v>
      </c>
      <c r="D165" s="99" t="s">
        <v>73</v>
      </c>
      <c r="E165" s="100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11"/>
    </row>
    <row r="166" spans="1:26" ht="19.5" customHeight="1" x14ac:dyDescent="0.3">
      <c r="A166" s="4"/>
      <c r="B166" s="4"/>
      <c r="C166" s="99">
        <v>84248990</v>
      </c>
      <c r="D166" s="99" t="s">
        <v>73</v>
      </c>
      <c r="E166" s="100">
        <v>69.75</v>
      </c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11"/>
    </row>
    <row r="167" spans="1:26" ht="19.5" customHeight="1" x14ac:dyDescent="0.3">
      <c r="A167" s="4"/>
      <c r="B167" s="4"/>
      <c r="C167" s="99">
        <v>84433111</v>
      </c>
      <c r="D167" s="99" t="s">
        <v>73</v>
      </c>
      <c r="E167" s="100">
        <v>69.75</v>
      </c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11"/>
    </row>
    <row r="168" spans="1:26" ht="19.5" customHeight="1" x14ac:dyDescent="0.3">
      <c r="A168" s="4"/>
      <c r="B168" s="4"/>
      <c r="C168" s="99">
        <v>84433114</v>
      </c>
      <c r="D168" s="99" t="s">
        <v>73</v>
      </c>
      <c r="E168" s="100">
        <v>69.75</v>
      </c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11"/>
    </row>
    <row r="169" spans="1:26" ht="19.5" customHeight="1" x14ac:dyDescent="0.3">
      <c r="A169" s="4"/>
      <c r="B169" s="4"/>
      <c r="C169" s="99">
        <v>84439923</v>
      </c>
      <c r="D169" s="99" t="s">
        <v>73</v>
      </c>
      <c r="E169" s="100">
        <v>41.18</v>
      </c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11"/>
    </row>
    <row r="170" spans="1:26" ht="19.5" customHeight="1" x14ac:dyDescent="0.3">
      <c r="A170" s="4"/>
      <c r="B170" s="4"/>
      <c r="C170" s="99">
        <v>84649090</v>
      </c>
      <c r="D170" s="99" t="s">
        <v>73</v>
      </c>
      <c r="E170" s="100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11"/>
    </row>
    <row r="171" spans="1:26" ht="19.5" customHeight="1" x14ac:dyDescent="0.3">
      <c r="A171" s="4"/>
      <c r="B171" s="4"/>
      <c r="C171" s="99">
        <v>84669340</v>
      </c>
      <c r="D171" s="99" t="s">
        <v>73</v>
      </c>
      <c r="E171" s="100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11"/>
    </row>
    <row r="172" spans="1:26" ht="19.5" customHeight="1" x14ac:dyDescent="0.3">
      <c r="A172" s="4"/>
      <c r="B172" s="4"/>
      <c r="C172" s="99">
        <v>84672100</v>
      </c>
      <c r="D172" s="99" t="s">
        <v>73</v>
      </c>
      <c r="E172" s="100">
        <v>69.75</v>
      </c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11"/>
    </row>
    <row r="173" spans="1:26" ht="19.5" customHeight="1" x14ac:dyDescent="0.3">
      <c r="A173" s="4"/>
      <c r="B173" s="4"/>
      <c r="C173" s="99">
        <v>84672200</v>
      </c>
      <c r="D173" s="99" t="s">
        <v>73</v>
      </c>
      <c r="E173" s="100">
        <v>69.75</v>
      </c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  <c r="Z173" s="11"/>
    </row>
    <row r="174" spans="1:26" ht="19.5" customHeight="1" x14ac:dyDescent="0.3">
      <c r="A174" s="4"/>
      <c r="B174" s="4"/>
      <c r="C174" s="99">
        <v>84672992</v>
      </c>
      <c r="D174" s="99" t="s">
        <v>73</v>
      </c>
      <c r="E174" s="100">
        <v>69.75</v>
      </c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11"/>
    </row>
    <row r="175" spans="1:26" ht="19.5" customHeight="1" x14ac:dyDescent="0.3">
      <c r="A175" s="4"/>
      <c r="B175" s="4"/>
      <c r="C175" s="99">
        <v>84672993</v>
      </c>
      <c r="D175" s="99" t="s">
        <v>73</v>
      </c>
      <c r="E175" s="100">
        <v>69.75</v>
      </c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11"/>
    </row>
    <row r="176" spans="1:26" ht="19.5" customHeight="1" x14ac:dyDescent="0.3">
      <c r="A176" s="4"/>
      <c r="B176" s="4"/>
      <c r="C176" s="99">
        <v>84672999</v>
      </c>
      <c r="D176" s="99" t="s">
        <v>73</v>
      </c>
      <c r="E176" s="100">
        <v>69.75</v>
      </c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11"/>
    </row>
    <row r="177" spans="1:26" ht="19.5" customHeight="1" x14ac:dyDescent="0.3">
      <c r="A177" s="4"/>
      <c r="B177" s="4"/>
      <c r="C177" s="99">
        <v>84681000</v>
      </c>
      <c r="D177" s="99" t="s">
        <v>73</v>
      </c>
      <c r="E177" s="100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11"/>
    </row>
    <row r="178" spans="1:26" ht="19.5" customHeight="1" x14ac:dyDescent="0.3">
      <c r="A178" s="4"/>
      <c r="B178" s="4"/>
      <c r="C178" s="99">
        <v>84716052</v>
      </c>
      <c r="D178" s="99" t="s">
        <v>73</v>
      </c>
      <c r="E178" s="100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11"/>
    </row>
    <row r="179" spans="1:26" ht="19.5" customHeight="1" x14ac:dyDescent="0.3">
      <c r="A179" s="4"/>
      <c r="B179" s="4"/>
      <c r="C179" s="99">
        <v>84716053</v>
      </c>
      <c r="D179" s="99" t="s">
        <v>73</v>
      </c>
      <c r="E179" s="100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  <c r="Z179" s="11"/>
    </row>
    <row r="180" spans="1:26" ht="19.5" customHeight="1" x14ac:dyDescent="0.3">
      <c r="A180" s="4"/>
      <c r="B180" s="4"/>
      <c r="C180" s="99">
        <v>84717012</v>
      </c>
      <c r="D180" s="99" t="s">
        <v>73</v>
      </c>
      <c r="E180" s="100">
        <v>41.18</v>
      </c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11"/>
    </row>
    <row r="181" spans="1:26" ht="19.5" customHeight="1" x14ac:dyDescent="0.3">
      <c r="A181" s="4"/>
      <c r="B181" s="4"/>
      <c r="C181" s="99">
        <v>84717019</v>
      </c>
      <c r="D181" s="99" t="s">
        <v>73</v>
      </c>
      <c r="E181" s="100">
        <v>41.18</v>
      </c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11"/>
    </row>
    <row r="182" spans="1:26" ht="19.5" customHeight="1" x14ac:dyDescent="0.3">
      <c r="A182" s="4"/>
      <c r="B182" s="4"/>
      <c r="C182" s="99">
        <v>84729040</v>
      </c>
      <c r="D182" s="99" t="s">
        <v>73</v>
      </c>
      <c r="E182" s="100">
        <v>41.18</v>
      </c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11"/>
    </row>
    <row r="183" spans="1:26" ht="19.5" customHeight="1" x14ac:dyDescent="0.3">
      <c r="A183" s="4"/>
      <c r="B183" s="4"/>
      <c r="C183" s="99">
        <v>84729099</v>
      </c>
      <c r="D183" s="99" t="s">
        <v>73</v>
      </c>
      <c r="E183" s="100">
        <v>41.18</v>
      </c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11"/>
    </row>
    <row r="184" spans="1:26" ht="19.5" customHeight="1" x14ac:dyDescent="0.3">
      <c r="A184" s="4"/>
      <c r="B184" s="4"/>
      <c r="C184" s="99">
        <v>84733041</v>
      </c>
      <c r="D184" s="99" t="s">
        <v>73</v>
      </c>
      <c r="E184" s="100">
        <v>70.59</v>
      </c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11"/>
    </row>
    <row r="185" spans="1:26" ht="19.5" customHeight="1" x14ac:dyDescent="0.3">
      <c r="A185" s="4"/>
      <c r="B185" s="4"/>
      <c r="C185" s="99">
        <v>84733042</v>
      </c>
      <c r="D185" s="99" t="s">
        <v>73</v>
      </c>
      <c r="E185" s="100">
        <v>70.59</v>
      </c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4"/>
      <c r="Y185" s="4"/>
      <c r="Z185" s="11"/>
    </row>
    <row r="186" spans="1:26" ht="19.5" customHeight="1" x14ac:dyDescent="0.3">
      <c r="A186" s="4"/>
      <c r="B186" s="4"/>
      <c r="C186" s="99">
        <v>84818011</v>
      </c>
      <c r="D186" s="99" t="s">
        <v>73</v>
      </c>
      <c r="E186" s="100">
        <v>72.099999999999994</v>
      </c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11"/>
    </row>
    <row r="187" spans="1:26" ht="19.5" customHeight="1" x14ac:dyDescent="0.3">
      <c r="A187" s="4"/>
      <c r="B187" s="4"/>
      <c r="C187" s="99">
        <v>84818019</v>
      </c>
      <c r="D187" s="99" t="s">
        <v>73</v>
      </c>
      <c r="E187" s="100">
        <v>72.099999999999994</v>
      </c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11"/>
    </row>
    <row r="188" spans="1:26" ht="19.5" customHeight="1" x14ac:dyDescent="0.3">
      <c r="A188" s="4"/>
      <c r="B188" s="4"/>
      <c r="C188" s="99">
        <v>84818093</v>
      </c>
      <c r="D188" s="99" t="s">
        <v>73</v>
      </c>
      <c r="E188" s="100">
        <v>72.099999999999994</v>
      </c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11"/>
    </row>
    <row r="189" spans="1:26" ht="19.5" customHeight="1" x14ac:dyDescent="0.3">
      <c r="A189" s="4"/>
      <c r="B189" s="4"/>
      <c r="C189" s="99">
        <v>84818095</v>
      </c>
      <c r="D189" s="99" t="s">
        <v>73</v>
      </c>
      <c r="E189" s="100">
        <v>72.099999999999994</v>
      </c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11"/>
    </row>
    <row r="190" spans="1:26" ht="19.5" customHeight="1" x14ac:dyDescent="0.3">
      <c r="A190" s="4"/>
      <c r="B190" s="4"/>
      <c r="C190" s="99">
        <v>85011030</v>
      </c>
      <c r="D190" s="99" t="s">
        <v>73</v>
      </c>
      <c r="E190" s="100">
        <v>101.11</v>
      </c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11"/>
    </row>
    <row r="191" spans="1:26" ht="19.5" customHeight="1" x14ac:dyDescent="0.3">
      <c r="A191" s="4"/>
      <c r="B191" s="4"/>
      <c r="C191" s="99">
        <v>85014019</v>
      </c>
      <c r="D191" s="99" t="s">
        <v>73</v>
      </c>
      <c r="E191" s="100">
        <v>101.11</v>
      </c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  <c r="Z191" s="11"/>
    </row>
    <row r="192" spans="1:26" ht="19.5" customHeight="1" x14ac:dyDescent="0.3">
      <c r="A192" s="4"/>
      <c r="B192" s="4"/>
      <c r="C192" s="99">
        <v>85041000</v>
      </c>
      <c r="D192" s="99" t="s">
        <v>73</v>
      </c>
      <c r="E192" s="100">
        <v>79.27</v>
      </c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11"/>
    </row>
    <row r="193" spans="1:26" ht="19.5" customHeight="1" x14ac:dyDescent="0.3">
      <c r="A193" s="4"/>
      <c r="B193" s="4"/>
      <c r="C193" s="99">
        <v>85043111</v>
      </c>
      <c r="D193" s="99" t="s">
        <v>73</v>
      </c>
      <c r="E193" s="100">
        <v>79.27</v>
      </c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11"/>
    </row>
    <row r="194" spans="1:26" ht="19.5" customHeight="1" x14ac:dyDescent="0.3">
      <c r="A194" s="4"/>
      <c r="B194" s="4"/>
      <c r="C194" s="99">
        <v>85043119</v>
      </c>
      <c r="D194" s="99" t="s">
        <v>73</v>
      </c>
      <c r="E194" s="100">
        <v>79.27</v>
      </c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11"/>
    </row>
    <row r="195" spans="1:26" ht="19.5" customHeight="1" x14ac:dyDescent="0.3">
      <c r="A195" s="4"/>
      <c r="B195" s="4"/>
      <c r="C195" s="99">
        <v>85043199</v>
      </c>
      <c r="D195" s="99" t="s">
        <v>73</v>
      </c>
      <c r="E195" s="100">
        <v>79.27</v>
      </c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11"/>
    </row>
    <row r="196" spans="1:26" ht="19.5" customHeight="1" x14ac:dyDescent="0.3">
      <c r="A196" s="4"/>
      <c r="B196" s="4"/>
      <c r="C196" s="99">
        <v>85043211</v>
      </c>
      <c r="D196" s="99" t="s">
        <v>73</v>
      </c>
      <c r="E196" s="100">
        <v>79.27</v>
      </c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11"/>
    </row>
    <row r="197" spans="1:26" ht="19.5" customHeight="1" x14ac:dyDescent="0.3">
      <c r="A197" s="4"/>
      <c r="B197" s="4"/>
      <c r="C197" s="99">
        <v>85043219</v>
      </c>
      <c r="D197" s="99" t="s">
        <v>73</v>
      </c>
      <c r="E197" s="100">
        <v>79.27</v>
      </c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11"/>
    </row>
    <row r="198" spans="1:26" ht="19.5" customHeight="1" x14ac:dyDescent="0.3">
      <c r="A198" s="4"/>
      <c r="B198" s="4"/>
      <c r="C198" s="99">
        <v>85044010</v>
      </c>
      <c r="D198" s="99" t="s">
        <v>73</v>
      </c>
      <c r="E198" s="100">
        <v>79.27</v>
      </c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11"/>
    </row>
    <row r="199" spans="1:26" ht="19.5" customHeight="1" x14ac:dyDescent="0.3">
      <c r="A199" s="4"/>
      <c r="B199" s="4"/>
      <c r="C199" s="99">
        <v>85044021</v>
      </c>
      <c r="D199" s="99" t="s">
        <v>73</v>
      </c>
      <c r="E199" s="100">
        <v>79.27</v>
      </c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11"/>
    </row>
    <row r="200" spans="1:26" ht="19.5" customHeight="1" x14ac:dyDescent="0.3">
      <c r="A200" s="4"/>
      <c r="B200" s="4"/>
      <c r="C200" s="99">
        <v>85044022</v>
      </c>
      <c r="D200" s="99" t="s">
        <v>73</v>
      </c>
      <c r="E200" s="100">
        <v>79.27</v>
      </c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11"/>
    </row>
    <row r="201" spans="1:26" ht="19.5" customHeight="1" x14ac:dyDescent="0.3">
      <c r="A201" s="4"/>
      <c r="B201" s="4"/>
      <c r="C201" s="99">
        <v>85044030</v>
      </c>
      <c r="D201" s="99" t="s">
        <v>73</v>
      </c>
      <c r="E201" s="100">
        <v>79.27</v>
      </c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11"/>
    </row>
    <row r="202" spans="1:26" ht="19.5" customHeight="1" x14ac:dyDescent="0.3">
      <c r="A202" s="4"/>
      <c r="B202" s="4"/>
      <c r="C202" s="99">
        <v>85044040</v>
      </c>
      <c r="D202" s="99" t="s">
        <v>73</v>
      </c>
      <c r="E202" s="100">
        <v>79.27</v>
      </c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  <c r="Z202" s="11"/>
    </row>
    <row r="203" spans="1:26" ht="19.5" customHeight="1" x14ac:dyDescent="0.3">
      <c r="A203" s="4"/>
      <c r="B203" s="4"/>
      <c r="C203" s="99">
        <v>85044090</v>
      </c>
      <c r="D203" s="99" t="s">
        <v>73</v>
      </c>
      <c r="E203" s="100">
        <v>79.27</v>
      </c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11"/>
    </row>
    <row r="204" spans="1:26" ht="19.5" customHeight="1" x14ac:dyDescent="0.3">
      <c r="A204" s="4"/>
      <c r="B204" s="4"/>
      <c r="C204" s="99">
        <v>85049020</v>
      </c>
      <c r="D204" s="99" t="s">
        <v>73</v>
      </c>
      <c r="E204" s="100">
        <v>79.27</v>
      </c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11"/>
    </row>
    <row r="205" spans="1:26" ht="19.5" customHeight="1" x14ac:dyDescent="0.3">
      <c r="A205" s="4"/>
      <c r="B205" s="4"/>
      <c r="C205" s="99">
        <v>85049090</v>
      </c>
      <c r="D205" s="99" t="s">
        <v>73</v>
      </c>
      <c r="E205" s="100">
        <v>79.27</v>
      </c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11"/>
    </row>
    <row r="206" spans="1:26" ht="19.5" customHeight="1" x14ac:dyDescent="0.3">
      <c r="A206" s="4"/>
      <c r="B206" s="4"/>
      <c r="C206" s="99">
        <v>85061010</v>
      </c>
      <c r="D206" s="99" t="s">
        <v>73</v>
      </c>
      <c r="E206" s="100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11"/>
    </row>
    <row r="207" spans="1:26" ht="19.5" customHeight="1" x14ac:dyDescent="0.3">
      <c r="A207" s="4"/>
      <c r="B207" s="4"/>
      <c r="C207" s="99">
        <v>85061019</v>
      </c>
      <c r="D207" s="99" t="s">
        <v>73</v>
      </c>
      <c r="E207" s="100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11"/>
    </row>
    <row r="208" spans="1:26" ht="19.5" customHeight="1" x14ac:dyDescent="0.3">
      <c r="A208" s="4"/>
      <c r="B208" s="4"/>
      <c r="C208" s="99">
        <v>85061020</v>
      </c>
      <c r="D208" s="99" t="s">
        <v>73</v>
      </c>
      <c r="E208" s="100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11"/>
    </row>
    <row r="209" spans="1:26" ht="19.5" customHeight="1" x14ac:dyDescent="0.3">
      <c r="A209" s="4"/>
      <c r="B209" s="4"/>
      <c r="C209" s="99">
        <v>85061030</v>
      </c>
      <c r="D209" s="99" t="s">
        <v>73</v>
      </c>
      <c r="E209" s="100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11"/>
    </row>
    <row r="210" spans="1:26" ht="19.5" customHeight="1" x14ac:dyDescent="0.3">
      <c r="A210" s="4"/>
      <c r="B210" s="4"/>
      <c r="C210" s="99">
        <v>85061031</v>
      </c>
      <c r="D210" s="99" t="s">
        <v>73</v>
      </c>
      <c r="E210" s="100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11"/>
    </row>
    <row r="211" spans="1:26" ht="19.5" customHeight="1" x14ac:dyDescent="0.3">
      <c r="A211" s="4"/>
      <c r="B211" s="4"/>
      <c r="C211" s="99">
        <v>85065010</v>
      </c>
      <c r="D211" s="99" t="s">
        <v>73</v>
      </c>
      <c r="E211" s="100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11"/>
    </row>
    <row r="212" spans="1:26" ht="19.5" customHeight="1" x14ac:dyDescent="0.3">
      <c r="A212" s="4"/>
      <c r="B212" s="4"/>
      <c r="C212" s="99">
        <v>85073011</v>
      </c>
      <c r="D212" s="99" t="s">
        <v>73</v>
      </c>
      <c r="E212" s="100">
        <v>101.11</v>
      </c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11"/>
    </row>
    <row r="213" spans="1:26" ht="19.5" customHeight="1" x14ac:dyDescent="0.3">
      <c r="A213" s="4"/>
      <c r="B213" s="4"/>
      <c r="C213" s="99">
        <v>85078000</v>
      </c>
      <c r="D213" s="99" t="s">
        <v>73</v>
      </c>
      <c r="E213" s="100">
        <v>63.9</v>
      </c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11"/>
    </row>
    <row r="214" spans="1:26" ht="19.5" customHeight="1" x14ac:dyDescent="0.3">
      <c r="A214" s="4"/>
      <c r="B214" s="4"/>
      <c r="C214" s="99">
        <v>85098090</v>
      </c>
      <c r="D214" s="99" t="s">
        <v>73</v>
      </c>
      <c r="E214" s="100">
        <v>69.75</v>
      </c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11"/>
    </row>
    <row r="215" spans="1:26" ht="19.5" customHeight="1" x14ac:dyDescent="0.3">
      <c r="A215" s="4"/>
      <c r="B215" s="4"/>
      <c r="C215" s="99">
        <v>85122011</v>
      </c>
      <c r="D215" s="99" t="s">
        <v>73</v>
      </c>
      <c r="E215" s="100">
        <v>101.11</v>
      </c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11"/>
    </row>
    <row r="216" spans="1:26" ht="19.5" customHeight="1" x14ac:dyDescent="0.3">
      <c r="A216" s="4"/>
      <c r="B216" s="4"/>
      <c r="C216" s="99">
        <v>85122019</v>
      </c>
      <c r="D216" s="99" t="s">
        <v>73</v>
      </c>
      <c r="E216" s="100">
        <v>101.11</v>
      </c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11"/>
    </row>
    <row r="217" spans="1:26" ht="19.5" customHeight="1" x14ac:dyDescent="0.3">
      <c r="A217" s="4"/>
      <c r="B217" s="4"/>
      <c r="C217" s="99">
        <v>85122029</v>
      </c>
      <c r="D217" s="99" t="s">
        <v>73</v>
      </c>
      <c r="E217" s="100">
        <v>101.11</v>
      </c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11"/>
    </row>
    <row r="218" spans="1:26" ht="19.5" customHeight="1" x14ac:dyDescent="0.3">
      <c r="A218" s="4"/>
      <c r="B218" s="4"/>
      <c r="C218" s="99">
        <v>85123000</v>
      </c>
      <c r="D218" s="99" t="s">
        <v>73</v>
      </c>
      <c r="E218" s="100">
        <v>101.11</v>
      </c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11"/>
    </row>
    <row r="219" spans="1:26" ht="19.5" customHeight="1" x14ac:dyDescent="0.3">
      <c r="A219" s="4"/>
      <c r="B219" s="4"/>
      <c r="C219" s="99">
        <v>85131010</v>
      </c>
      <c r="D219" s="99" t="s">
        <v>73</v>
      </c>
      <c r="E219" s="100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11"/>
    </row>
    <row r="220" spans="1:26" ht="19.5" customHeight="1" x14ac:dyDescent="0.3">
      <c r="A220" s="4"/>
      <c r="B220" s="4"/>
      <c r="C220" s="99">
        <v>85131090</v>
      </c>
      <c r="D220" s="99" t="s">
        <v>73</v>
      </c>
      <c r="E220" s="100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  <c r="Z220" s="11"/>
    </row>
    <row r="221" spans="1:26" ht="19.5" customHeight="1" x14ac:dyDescent="0.3">
      <c r="A221" s="4"/>
      <c r="B221" s="4"/>
      <c r="C221" s="99">
        <v>85144000</v>
      </c>
      <c r="D221" s="99" t="s">
        <v>73</v>
      </c>
      <c r="E221" s="100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11"/>
    </row>
    <row r="222" spans="1:26" ht="19.5" customHeight="1" x14ac:dyDescent="0.3">
      <c r="A222" s="4"/>
      <c r="B222" s="4"/>
      <c r="C222" s="99">
        <v>85151100</v>
      </c>
      <c r="D222" s="99" t="s">
        <v>73</v>
      </c>
      <c r="E222" s="100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11"/>
    </row>
    <row r="223" spans="1:26" ht="19.5" customHeight="1" x14ac:dyDescent="0.3">
      <c r="A223" s="4"/>
      <c r="B223" s="4"/>
      <c r="C223" s="99">
        <v>85159000</v>
      </c>
      <c r="D223" s="99" t="s">
        <v>73</v>
      </c>
      <c r="E223" s="100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11"/>
    </row>
    <row r="224" spans="1:26" ht="19.5" customHeight="1" x14ac:dyDescent="0.3">
      <c r="A224" s="4"/>
      <c r="B224" s="4"/>
      <c r="C224" s="99">
        <v>85168090</v>
      </c>
      <c r="D224" s="99" t="s">
        <v>73</v>
      </c>
      <c r="E224" s="100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11"/>
    </row>
    <row r="225" spans="1:26" ht="19.5" customHeight="1" x14ac:dyDescent="0.3">
      <c r="A225" s="4"/>
      <c r="B225" s="4"/>
      <c r="C225" s="99">
        <v>85171891</v>
      </c>
      <c r="D225" s="99" t="s">
        <v>73</v>
      </c>
      <c r="E225" s="100">
        <v>69.75</v>
      </c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11"/>
    </row>
    <row r="226" spans="1:26" ht="19.5" customHeight="1" x14ac:dyDescent="0.3">
      <c r="A226" s="4"/>
      <c r="B226" s="4"/>
      <c r="C226" s="99">
        <v>85176239</v>
      </c>
      <c r="D226" s="99" t="s">
        <v>73</v>
      </c>
      <c r="E226" s="100">
        <v>69.75</v>
      </c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  <c r="Z226" s="11"/>
    </row>
    <row r="227" spans="1:26" ht="19.5" customHeight="1" x14ac:dyDescent="0.3">
      <c r="A227" s="4"/>
      <c r="B227" s="4"/>
      <c r="C227" s="99">
        <v>85177091</v>
      </c>
      <c r="D227" s="99" t="s">
        <v>73</v>
      </c>
      <c r="E227" s="100">
        <v>69.75</v>
      </c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11"/>
    </row>
    <row r="228" spans="1:26" ht="19.5" customHeight="1" x14ac:dyDescent="0.3">
      <c r="A228" s="4"/>
      <c r="B228" s="4"/>
      <c r="C228" s="99">
        <v>85177099</v>
      </c>
      <c r="D228" s="99" t="s">
        <v>73</v>
      </c>
      <c r="E228" s="100">
        <v>69.75</v>
      </c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11"/>
    </row>
    <row r="229" spans="1:26" ht="19.5" customHeight="1" x14ac:dyDescent="0.3">
      <c r="A229" s="4"/>
      <c r="B229" s="4"/>
      <c r="C229" s="99">
        <v>85177900</v>
      </c>
      <c r="D229" s="99" t="s">
        <v>73</v>
      </c>
      <c r="E229" s="100">
        <v>69.75</v>
      </c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11"/>
    </row>
    <row r="230" spans="1:26" ht="19.5" customHeight="1" x14ac:dyDescent="0.3">
      <c r="A230" s="4"/>
      <c r="B230" s="4"/>
      <c r="C230" s="99">
        <v>85235190</v>
      </c>
      <c r="D230" s="99" t="s">
        <v>73</v>
      </c>
      <c r="E230" s="100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11"/>
    </row>
    <row r="231" spans="1:26" ht="19.5" customHeight="1" x14ac:dyDescent="0.3">
      <c r="A231" s="4"/>
      <c r="B231" s="4"/>
      <c r="C231" s="99">
        <v>85271300</v>
      </c>
      <c r="D231" s="99" t="s">
        <v>73</v>
      </c>
      <c r="E231" s="100">
        <v>69.75</v>
      </c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11"/>
    </row>
    <row r="232" spans="1:26" ht="19.5" customHeight="1" x14ac:dyDescent="0.3">
      <c r="A232" s="4"/>
      <c r="B232" s="4"/>
      <c r="C232" s="99">
        <v>85285200</v>
      </c>
      <c r="D232" s="99" t="s">
        <v>73</v>
      </c>
      <c r="E232" s="100">
        <v>41.18</v>
      </c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4"/>
      <c r="Y232" s="4"/>
      <c r="Z232" s="11"/>
    </row>
    <row r="233" spans="1:26" ht="19.5" customHeight="1" x14ac:dyDescent="0.3">
      <c r="A233" s="4"/>
      <c r="B233" s="4"/>
      <c r="C233" s="99">
        <v>85285220</v>
      </c>
      <c r="D233" s="99" t="s">
        <v>73</v>
      </c>
      <c r="E233" s="100">
        <v>69.75</v>
      </c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11"/>
    </row>
    <row r="234" spans="1:26" ht="19.5" customHeight="1" x14ac:dyDescent="0.3">
      <c r="A234" s="4"/>
      <c r="B234" s="4"/>
      <c r="C234" s="99">
        <v>85291019</v>
      </c>
      <c r="D234" s="99" t="s">
        <v>73</v>
      </c>
      <c r="E234" s="100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11"/>
    </row>
    <row r="235" spans="1:26" ht="19.5" customHeight="1" x14ac:dyDescent="0.3">
      <c r="A235" s="4"/>
      <c r="B235" s="4"/>
      <c r="C235" s="99">
        <v>85299020</v>
      </c>
      <c r="D235" s="99" t="s">
        <v>73</v>
      </c>
      <c r="E235" s="100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11"/>
    </row>
    <row r="236" spans="1:26" ht="19.5" customHeight="1" x14ac:dyDescent="0.3">
      <c r="A236" s="4"/>
      <c r="B236" s="4"/>
      <c r="C236" s="99">
        <v>85299090</v>
      </c>
      <c r="D236" s="99" t="s">
        <v>73</v>
      </c>
      <c r="E236" s="100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11"/>
    </row>
    <row r="237" spans="1:26" ht="19.5" customHeight="1" x14ac:dyDescent="0.3">
      <c r="A237" s="4"/>
      <c r="B237" s="4"/>
      <c r="C237" s="99">
        <v>85301090</v>
      </c>
      <c r="D237" s="99" t="s">
        <v>73</v>
      </c>
      <c r="E237" s="100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11"/>
    </row>
    <row r="238" spans="1:26" ht="19.5" customHeight="1" x14ac:dyDescent="0.3">
      <c r="A238" s="4"/>
      <c r="B238" s="4"/>
      <c r="C238" s="99">
        <v>85311010</v>
      </c>
      <c r="D238" s="99" t="s">
        <v>73</v>
      </c>
      <c r="E238" s="100">
        <v>91.34</v>
      </c>
      <c r="F238" s="4"/>
      <c r="G238" s="4"/>
      <c r="H238" s="4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4"/>
      <c r="Y238" s="4"/>
      <c r="Z238" s="11"/>
    </row>
    <row r="239" spans="1:26" ht="19.5" customHeight="1" x14ac:dyDescent="0.3">
      <c r="A239" s="4"/>
      <c r="B239" s="4"/>
      <c r="C239" s="99">
        <v>85311090</v>
      </c>
      <c r="D239" s="99" t="s">
        <v>73</v>
      </c>
      <c r="E239" s="100">
        <v>101.11</v>
      </c>
      <c r="F239" s="4"/>
      <c r="G239" s="4"/>
      <c r="H239" s="4"/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  <c r="Z239" s="11"/>
    </row>
    <row r="240" spans="1:26" ht="19.5" customHeight="1" x14ac:dyDescent="0.3">
      <c r="A240" s="4"/>
      <c r="B240" s="4"/>
      <c r="C240" s="99">
        <v>85312000</v>
      </c>
      <c r="D240" s="99" t="s">
        <v>73</v>
      </c>
      <c r="E240" s="100"/>
      <c r="F240" s="4"/>
      <c r="G240" s="4"/>
      <c r="H240" s="4"/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11"/>
    </row>
    <row r="241" spans="1:26" ht="19.5" customHeight="1" x14ac:dyDescent="0.3">
      <c r="A241" s="4"/>
      <c r="B241" s="4"/>
      <c r="C241" s="99">
        <v>85318000</v>
      </c>
      <c r="D241" s="99" t="s">
        <v>73</v>
      </c>
      <c r="E241" s="100">
        <v>67.41</v>
      </c>
      <c r="F241" s="4"/>
      <c r="G241" s="4"/>
      <c r="H241" s="4"/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11"/>
    </row>
    <row r="242" spans="1:26" ht="19.5" customHeight="1" x14ac:dyDescent="0.3">
      <c r="A242" s="4"/>
      <c r="B242" s="4"/>
      <c r="C242" s="99">
        <v>85321000</v>
      </c>
      <c r="D242" s="99" t="s">
        <v>73</v>
      </c>
      <c r="E242" s="100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11"/>
    </row>
    <row r="243" spans="1:26" ht="19.5" customHeight="1" x14ac:dyDescent="0.3">
      <c r="A243" s="4"/>
      <c r="B243" s="4"/>
      <c r="C243" s="99">
        <v>85322590</v>
      </c>
      <c r="D243" s="99" t="s">
        <v>73</v>
      </c>
      <c r="E243" s="100"/>
      <c r="F243" s="4"/>
      <c r="G243" s="4"/>
      <c r="H243" s="4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11"/>
    </row>
    <row r="244" spans="1:26" ht="19.5" customHeight="1" x14ac:dyDescent="0.3">
      <c r="A244" s="4"/>
      <c r="B244" s="4"/>
      <c r="C244" s="99">
        <v>85331000</v>
      </c>
      <c r="D244" s="99" t="s">
        <v>73</v>
      </c>
      <c r="E244" s="100"/>
      <c r="F244" s="4"/>
      <c r="G244" s="4"/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4"/>
      <c r="Y244" s="4"/>
      <c r="Z244" s="11"/>
    </row>
    <row r="245" spans="1:26" ht="19.5" customHeight="1" x14ac:dyDescent="0.3">
      <c r="A245" s="4"/>
      <c r="B245" s="4"/>
      <c r="C245" s="99">
        <v>85353210</v>
      </c>
      <c r="D245" s="99" t="s">
        <v>73</v>
      </c>
      <c r="E245" s="100">
        <v>70.930000000000007</v>
      </c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11"/>
    </row>
    <row r="246" spans="1:26" ht="19.5" customHeight="1" x14ac:dyDescent="0.3">
      <c r="A246" s="4"/>
      <c r="B246" s="4"/>
      <c r="C246" s="99">
        <v>85354010</v>
      </c>
      <c r="D246" s="99" t="s">
        <v>73</v>
      </c>
      <c r="E246" s="100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11"/>
    </row>
    <row r="247" spans="1:26" ht="19.5" customHeight="1" x14ac:dyDescent="0.3">
      <c r="A247" s="4"/>
      <c r="B247" s="4"/>
      <c r="C247" s="99">
        <v>85354090</v>
      </c>
      <c r="D247" s="99" t="s">
        <v>73</v>
      </c>
      <c r="E247" s="100"/>
      <c r="F247" s="4"/>
      <c r="G247" s="4"/>
      <c r="H247" s="4"/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11"/>
    </row>
    <row r="248" spans="1:26" ht="19.5" customHeight="1" x14ac:dyDescent="0.3">
      <c r="A248" s="4"/>
      <c r="B248" s="4"/>
      <c r="C248" s="99">
        <v>85359000</v>
      </c>
      <c r="D248" s="99" t="s">
        <v>73</v>
      </c>
      <c r="E248" s="100"/>
      <c r="F248" s="4"/>
      <c r="G248" s="4"/>
      <c r="H248" s="4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11"/>
    </row>
    <row r="249" spans="1:26" ht="19.5" customHeight="1" x14ac:dyDescent="0.3">
      <c r="A249" s="4"/>
      <c r="B249" s="4"/>
      <c r="C249" s="99">
        <v>85359090</v>
      </c>
      <c r="D249" s="99" t="s">
        <v>73</v>
      </c>
      <c r="E249" s="100"/>
      <c r="F249" s="4"/>
      <c r="G249" s="4"/>
      <c r="H249" s="4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11"/>
    </row>
    <row r="250" spans="1:26" ht="19.5" customHeight="1" x14ac:dyDescent="0.3">
      <c r="A250" s="4"/>
      <c r="B250" s="4"/>
      <c r="C250" s="99">
        <v>85361000</v>
      </c>
      <c r="D250" s="99" t="s">
        <v>73</v>
      </c>
      <c r="E250" s="100">
        <v>101.11</v>
      </c>
      <c r="F250" s="4"/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4"/>
      <c r="Y250" s="4"/>
      <c r="Z250" s="11"/>
    </row>
    <row r="251" spans="1:26" ht="19.5" customHeight="1" x14ac:dyDescent="0.3">
      <c r="A251" s="4"/>
      <c r="B251" s="4"/>
      <c r="C251" s="99">
        <v>85362000</v>
      </c>
      <c r="D251" s="99" t="s">
        <v>73</v>
      </c>
      <c r="E251" s="100">
        <v>101.11</v>
      </c>
      <c r="F251" s="4"/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  <c r="Z251" s="11"/>
    </row>
    <row r="252" spans="1:26" ht="19.5" customHeight="1" x14ac:dyDescent="0.3">
      <c r="A252" s="4"/>
      <c r="B252" s="4"/>
      <c r="C252" s="99">
        <v>85363000</v>
      </c>
      <c r="D252" s="99" t="s">
        <v>73</v>
      </c>
      <c r="E252" s="100">
        <v>101.11</v>
      </c>
      <c r="F252" s="4"/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11"/>
    </row>
    <row r="253" spans="1:26" ht="19.5" customHeight="1" x14ac:dyDescent="0.3">
      <c r="A253" s="4"/>
      <c r="B253" s="4"/>
      <c r="C253" s="99">
        <v>85363090</v>
      </c>
      <c r="D253" s="99" t="s">
        <v>73</v>
      </c>
      <c r="E253" s="100">
        <v>101.11</v>
      </c>
      <c r="F253" s="4"/>
      <c r="G253" s="4"/>
      <c r="H253" s="4"/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11"/>
    </row>
    <row r="254" spans="1:26" ht="19.5" customHeight="1" x14ac:dyDescent="0.3">
      <c r="A254" s="4"/>
      <c r="B254" s="4"/>
      <c r="C254" s="99">
        <v>85364100</v>
      </c>
      <c r="D254" s="99" t="s">
        <v>73</v>
      </c>
      <c r="E254" s="100">
        <v>101.11</v>
      </c>
      <c r="F254" s="4"/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11"/>
    </row>
    <row r="255" spans="1:26" ht="19.5" customHeight="1" x14ac:dyDescent="0.3">
      <c r="A255" s="4"/>
      <c r="B255" s="4"/>
      <c r="C255" s="99">
        <v>85364900</v>
      </c>
      <c r="D255" s="99" t="s">
        <v>73</v>
      </c>
      <c r="E255" s="100">
        <v>101.11</v>
      </c>
      <c r="F255" s="4"/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11"/>
    </row>
    <row r="256" spans="1:26" ht="19.5" customHeight="1" x14ac:dyDescent="0.3">
      <c r="A256" s="4"/>
      <c r="B256" s="4"/>
      <c r="C256" s="99">
        <v>85365090</v>
      </c>
      <c r="D256" s="99" t="s">
        <v>73</v>
      </c>
      <c r="E256" s="100">
        <v>101.11</v>
      </c>
      <c r="F256" s="4"/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4"/>
      <c r="Y256" s="4"/>
      <c r="Z256" s="11"/>
    </row>
    <row r="257" spans="1:26" ht="19.5" customHeight="1" x14ac:dyDescent="0.3">
      <c r="A257" s="4"/>
      <c r="B257" s="4"/>
      <c r="C257" s="99">
        <v>85366100</v>
      </c>
      <c r="D257" s="99" t="s">
        <v>73</v>
      </c>
      <c r="E257" s="100">
        <v>101.11</v>
      </c>
      <c r="F257" s="4"/>
      <c r="G257" s="4"/>
      <c r="H257" s="4"/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4"/>
      <c r="Y257" s="4"/>
      <c r="Z257" s="11"/>
    </row>
    <row r="258" spans="1:26" ht="19.5" customHeight="1" x14ac:dyDescent="0.3">
      <c r="A258" s="4"/>
      <c r="B258" s="4"/>
      <c r="C258" s="99">
        <v>85366910</v>
      </c>
      <c r="D258" s="99" t="s">
        <v>73</v>
      </c>
      <c r="E258" s="100">
        <v>101.11</v>
      </c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11"/>
    </row>
    <row r="259" spans="1:26" ht="19.5" customHeight="1" x14ac:dyDescent="0.3">
      <c r="A259" s="4"/>
      <c r="B259" s="4"/>
      <c r="C259" s="99">
        <v>85366990</v>
      </c>
      <c r="D259" s="99" t="s">
        <v>73</v>
      </c>
      <c r="E259" s="100">
        <v>101.11</v>
      </c>
      <c r="F259" s="4"/>
      <c r="G259" s="4"/>
      <c r="H259" s="4"/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11"/>
    </row>
    <row r="260" spans="1:26" ht="19.5" customHeight="1" x14ac:dyDescent="0.3">
      <c r="A260" s="4"/>
      <c r="B260" s="4"/>
      <c r="C260" s="99">
        <v>85369010</v>
      </c>
      <c r="D260" s="99" t="s">
        <v>73</v>
      </c>
      <c r="E260" s="100">
        <v>101.11</v>
      </c>
      <c r="F260" s="4"/>
      <c r="G260" s="4"/>
      <c r="H260" s="4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11"/>
    </row>
    <row r="261" spans="1:26" ht="19.5" customHeight="1" x14ac:dyDescent="0.3">
      <c r="A261" s="4"/>
      <c r="B261" s="4"/>
      <c r="C261" s="99">
        <v>85369030</v>
      </c>
      <c r="D261" s="99" t="s">
        <v>73</v>
      </c>
      <c r="E261" s="100">
        <v>101.11</v>
      </c>
      <c r="F261" s="4"/>
      <c r="G261" s="4"/>
      <c r="H261" s="4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  <c r="Z261" s="11"/>
    </row>
    <row r="262" spans="1:26" ht="19.5" customHeight="1" x14ac:dyDescent="0.3">
      <c r="A262" s="4"/>
      <c r="B262" s="4"/>
      <c r="C262" s="99">
        <v>85369050</v>
      </c>
      <c r="D262" s="99" t="s">
        <v>73</v>
      </c>
      <c r="E262" s="100">
        <v>101.11</v>
      </c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11"/>
    </row>
    <row r="263" spans="1:26" ht="19.5" customHeight="1" x14ac:dyDescent="0.3">
      <c r="A263" s="4"/>
      <c r="B263" s="4"/>
      <c r="C263" s="99">
        <v>85369090</v>
      </c>
      <c r="D263" s="99" t="s">
        <v>73</v>
      </c>
      <c r="E263" s="100">
        <v>101.11</v>
      </c>
      <c r="F263" s="4"/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  <c r="Z263" s="11"/>
    </row>
    <row r="264" spans="1:26" ht="19.5" customHeight="1" x14ac:dyDescent="0.3">
      <c r="A264" s="4"/>
      <c r="B264" s="4"/>
      <c r="C264" s="99">
        <v>85371011</v>
      </c>
      <c r="D264" s="99" t="s">
        <v>73</v>
      </c>
      <c r="E264" s="100">
        <v>101.11</v>
      </c>
      <c r="F264" s="4"/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  <c r="Z264" s="11"/>
    </row>
    <row r="265" spans="1:26" ht="19.5" customHeight="1" x14ac:dyDescent="0.3">
      <c r="A265" s="4"/>
      <c r="B265" s="4"/>
      <c r="C265" s="99">
        <v>85371020</v>
      </c>
      <c r="D265" s="99" t="s">
        <v>73</v>
      </c>
      <c r="E265" s="100">
        <v>101.11</v>
      </c>
      <c r="F265" s="4"/>
      <c r="G265" s="4"/>
      <c r="H265" s="4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  <c r="Z265" s="11"/>
    </row>
    <row r="266" spans="1:26" ht="19.5" customHeight="1" x14ac:dyDescent="0.3">
      <c r="A266" s="4"/>
      <c r="B266" s="4"/>
      <c r="C266" s="99">
        <v>85371090</v>
      </c>
      <c r="D266" s="99" t="s">
        <v>73</v>
      </c>
      <c r="E266" s="100">
        <v>101.11</v>
      </c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4"/>
      <c r="X266" s="4"/>
      <c r="Y266" s="4"/>
      <c r="Z266" s="11"/>
    </row>
    <row r="267" spans="1:26" ht="19.5" customHeight="1" x14ac:dyDescent="0.3">
      <c r="A267" s="4"/>
      <c r="B267" s="4"/>
      <c r="C267" s="99">
        <v>85381000</v>
      </c>
      <c r="D267" s="99" t="s">
        <v>73</v>
      </c>
      <c r="E267" s="100">
        <v>101.11</v>
      </c>
      <c r="F267" s="4"/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  <c r="X267" s="4"/>
      <c r="Y267" s="4"/>
      <c r="Z267" s="11"/>
    </row>
    <row r="268" spans="1:26" ht="19.5" customHeight="1" x14ac:dyDescent="0.3">
      <c r="A268" s="4"/>
      <c r="B268" s="4"/>
      <c r="C268" s="99">
        <v>85389090</v>
      </c>
      <c r="D268" s="99" t="s">
        <v>73</v>
      </c>
      <c r="E268" s="100">
        <v>101.11</v>
      </c>
      <c r="F268" s="4"/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4"/>
      <c r="X268" s="4"/>
      <c r="Y268" s="4"/>
      <c r="Z268" s="11"/>
    </row>
    <row r="269" spans="1:26" ht="19.5" customHeight="1" x14ac:dyDescent="0.3">
      <c r="A269" s="4"/>
      <c r="B269" s="4"/>
      <c r="C269" s="99">
        <v>85392110</v>
      </c>
      <c r="D269" s="99" t="s">
        <v>73</v>
      </c>
      <c r="E269" s="100">
        <v>101.11</v>
      </c>
      <c r="F269" s="4"/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4"/>
      <c r="U269" s="4"/>
      <c r="V269" s="4"/>
      <c r="W269" s="4"/>
      <c r="X269" s="4"/>
      <c r="Y269" s="4"/>
      <c r="Z269" s="11"/>
    </row>
    <row r="270" spans="1:26" ht="19.5" customHeight="1" x14ac:dyDescent="0.3">
      <c r="A270" s="4"/>
      <c r="B270" s="4"/>
      <c r="C270" s="99">
        <v>85392190</v>
      </c>
      <c r="D270" s="99" t="s">
        <v>73</v>
      </c>
      <c r="E270" s="100">
        <v>101.11</v>
      </c>
      <c r="F270" s="4"/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  <c r="Y270" s="4"/>
      <c r="Z270" s="11"/>
    </row>
    <row r="271" spans="1:26" ht="19.5" customHeight="1" x14ac:dyDescent="0.3">
      <c r="A271" s="4"/>
      <c r="B271" s="4"/>
      <c r="C271" s="99">
        <v>85392200</v>
      </c>
      <c r="D271" s="99" t="s">
        <v>73</v>
      </c>
      <c r="E271" s="100">
        <v>101.11</v>
      </c>
      <c r="F271" s="4"/>
      <c r="G271" s="4"/>
      <c r="H271" s="4"/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  <c r="Y271" s="4"/>
      <c r="Z271" s="11"/>
    </row>
    <row r="272" spans="1:26" ht="19.5" customHeight="1" x14ac:dyDescent="0.3">
      <c r="A272" s="4"/>
      <c r="B272" s="4"/>
      <c r="C272" s="99">
        <v>85392910</v>
      </c>
      <c r="D272" s="99" t="s">
        <v>73</v>
      </c>
      <c r="E272" s="100">
        <v>101.11</v>
      </c>
      <c r="F272" s="4"/>
      <c r="G272" s="4"/>
      <c r="H272" s="4"/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  <c r="Y272" s="4"/>
      <c r="Z272" s="11"/>
    </row>
    <row r="273" spans="1:26" ht="19.5" customHeight="1" x14ac:dyDescent="0.3">
      <c r="A273" s="4"/>
      <c r="B273" s="4"/>
      <c r="C273" s="99">
        <v>85392990</v>
      </c>
      <c r="D273" s="99" t="s">
        <v>73</v>
      </c>
      <c r="E273" s="100">
        <v>101.11</v>
      </c>
      <c r="F273" s="4"/>
      <c r="G273" s="4"/>
      <c r="H273" s="4"/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  <c r="Z273" s="11"/>
    </row>
    <row r="274" spans="1:26" ht="19.5" customHeight="1" x14ac:dyDescent="0.3">
      <c r="A274" s="4"/>
      <c r="B274" s="4"/>
      <c r="C274" s="99">
        <v>85393100</v>
      </c>
      <c r="D274" s="99" t="s">
        <v>73</v>
      </c>
      <c r="E274" s="100">
        <v>101.11</v>
      </c>
      <c r="F274" s="4"/>
      <c r="G274" s="4"/>
      <c r="H274" s="4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  <c r="Z274" s="11"/>
    </row>
    <row r="275" spans="1:26" ht="19.5" customHeight="1" x14ac:dyDescent="0.3">
      <c r="A275" s="4"/>
      <c r="B275" s="4"/>
      <c r="C275" s="99">
        <v>85393111</v>
      </c>
      <c r="D275" s="99" t="s">
        <v>73</v>
      </c>
      <c r="E275" s="100">
        <v>101.11</v>
      </c>
      <c r="F275" s="4"/>
      <c r="G275" s="4"/>
      <c r="H275" s="4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  <c r="Y275" s="4"/>
      <c r="Z275" s="11"/>
    </row>
    <row r="276" spans="1:26" ht="19.5" customHeight="1" x14ac:dyDescent="0.3">
      <c r="A276" s="4"/>
      <c r="B276" s="4"/>
      <c r="C276" s="99">
        <v>85393119</v>
      </c>
      <c r="D276" s="99" t="s">
        <v>73</v>
      </c>
      <c r="E276" s="100">
        <v>101.11</v>
      </c>
      <c r="F276" s="4"/>
      <c r="G276" s="4"/>
      <c r="H276" s="4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11"/>
    </row>
    <row r="277" spans="1:26" ht="19.5" customHeight="1" x14ac:dyDescent="0.3">
      <c r="A277" s="4"/>
      <c r="B277" s="4"/>
      <c r="C277" s="99">
        <v>85393120</v>
      </c>
      <c r="D277" s="99" t="s">
        <v>73</v>
      </c>
      <c r="E277" s="100">
        <v>101.11</v>
      </c>
      <c r="F277" s="4"/>
      <c r="G277" s="4"/>
      <c r="H277" s="4"/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/>
      <c r="X277" s="4"/>
      <c r="Y277" s="4"/>
      <c r="Z277" s="11"/>
    </row>
    <row r="278" spans="1:26" ht="19.5" customHeight="1" x14ac:dyDescent="0.3">
      <c r="A278" s="4"/>
      <c r="B278" s="4"/>
      <c r="C278" s="99">
        <v>85393131</v>
      </c>
      <c r="D278" s="99" t="s">
        <v>73</v>
      </c>
      <c r="E278" s="100">
        <v>101.11</v>
      </c>
      <c r="F278" s="4"/>
      <c r="G278" s="4"/>
      <c r="H278" s="4"/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  <c r="Z278" s="11"/>
    </row>
    <row r="279" spans="1:26" ht="19.5" customHeight="1" x14ac:dyDescent="0.3">
      <c r="A279" s="4"/>
      <c r="B279" s="4"/>
      <c r="C279" s="99">
        <v>85393132</v>
      </c>
      <c r="D279" s="99" t="s">
        <v>73</v>
      </c>
      <c r="E279" s="100">
        <v>101.11</v>
      </c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4"/>
      <c r="Y279" s="4"/>
      <c r="Z279" s="11"/>
    </row>
    <row r="280" spans="1:26" ht="19.5" customHeight="1" x14ac:dyDescent="0.3">
      <c r="A280" s="4"/>
      <c r="B280" s="4"/>
      <c r="C280" s="99">
        <v>85393139</v>
      </c>
      <c r="D280" s="99" t="s">
        <v>73</v>
      </c>
      <c r="E280" s="100">
        <v>101.11</v>
      </c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11"/>
    </row>
    <row r="281" spans="1:26" ht="19.5" customHeight="1" x14ac:dyDescent="0.3">
      <c r="A281" s="4"/>
      <c r="B281" s="4"/>
      <c r="C281" s="99">
        <v>85393200</v>
      </c>
      <c r="D281" s="99" t="s">
        <v>73</v>
      </c>
      <c r="E281" s="100">
        <v>101.11</v>
      </c>
      <c r="F281" s="4"/>
      <c r="G281" s="4"/>
      <c r="H281" s="4"/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/>
      <c r="U281" s="4"/>
      <c r="V281" s="4"/>
      <c r="W281" s="4"/>
      <c r="X281" s="4"/>
      <c r="Y281" s="4"/>
      <c r="Z281" s="11"/>
    </row>
    <row r="282" spans="1:26" ht="19.5" customHeight="1" x14ac:dyDescent="0.3">
      <c r="A282" s="4"/>
      <c r="B282" s="4"/>
      <c r="C282" s="99">
        <v>85393210</v>
      </c>
      <c r="D282" s="99" t="s">
        <v>73</v>
      </c>
      <c r="E282" s="100">
        <v>101.11</v>
      </c>
      <c r="F282" s="4"/>
      <c r="G282" s="4"/>
      <c r="H282" s="4"/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4"/>
      <c r="X282" s="4"/>
      <c r="Y282" s="4"/>
      <c r="Z282" s="11"/>
    </row>
    <row r="283" spans="1:26" ht="19.5" customHeight="1" x14ac:dyDescent="0.3">
      <c r="A283" s="4"/>
      <c r="B283" s="4"/>
      <c r="C283" s="99">
        <v>85393220</v>
      </c>
      <c r="D283" s="99" t="s">
        <v>73</v>
      </c>
      <c r="E283" s="100">
        <v>101.11</v>
      </c>
      <c r="F283" s="4"/>
      <c r="G283" s="4"/>
      <c r="H283" s="4"/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  <c r="X283" s="4"/>
      <c r="Y283" s="4"/>
      <c r="Z283" s="11"/>
    </row>
    <row r="284" spans="1:26" ht="19.5" customHeight="1" x14ac:dyDescent="0.3">
      <c r="A284" s="4"/>
      <c r="B284" s="4"/>
      <c r="C284" s="99">
        <v>85393230</v>
      </c>
      <c r="D284" s="99" t="s">
        <v>73</v>
      </c>
      <c r="E284" s="100">
        <v>101.11</v>
      </c>
      <c r="F284" s="4"/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11"/>
    </row>
    <row r="285" spans="1:26" ht="19.5" customHeight="1" x14ac:dyDescent="0.3">
      <c r="A285" s="4"/>
      <c r="B285" s="4"/>
      <c r="C285" s="99">
        <v>85393900</v>
      </c>
      <c r="D285" s="99" t="s">
        <v>73</v>
      </c>
      <c r="E285" s="100">
        <v>101.11</v>
      </c>
      <c r="F285" s="4"/>
      <c r="G285" s="4"/>
      <c r="H285" s="4"/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4"/>
      <c r="X285" s="4"/>
      <c r="Y285" s="4"/>
      <c r="Z285" s="11"/>
    </row>
    <row r="286" spans="1:26" ht="19.5" customHeight="1" x14ac:dyDescent="0.3">
      <c r="A286" s="4"/>
      <c r="B286" s="4"/>
      <c r="C286" s="99">
        <v>85393911</v>
      </c>
      <c r="D286" s="99" t="s">
        <v>73</v>
      </c>
      <c r="E286" s="100">
        <v>101.11</v>
      </c>
      <c r="F286" s="4"/>
      <c r="G286" s="4"/>
      <c r="H286" s="4"/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11"/>
    </row>
    <row r="287" spans="1:26" ht="19.5" customHeight="1" x14ac:dyDescent="0.3">
      <c r="A287" s="4"/>
      <c r="B287" s="4"/>
      <c r="C287" s="99">
        <v>85393912</v>
      </c>
      <c r="D287" s="99" t="s">
        <v>73</v>
      </c>
      <c r="E287" s="100">
        <v>101.11</v>
      </c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4"/>
      <c r="Y287" s="4"/>
      <c r="Z287" s="11"/>
    </row>
    <row r="288" spans="1:26" ht="19.5" customHeight="1" x14ac:dyDescent="0.3">
      <c r="A288" s="4"/>
      <c r="B288" s="4"/>
      <c r="C288" s="99">
        <v>85393913</v>
      </c>
      <c r="D288" s="99" t="s">
        <v>73</v>
      </c>
      <c r="E288" s="100">
        <v>101.11</v>
      </c>
      <c r="F288" s="4"/>
      <c r="G288" s="4"/>
      <c r="H288" s="4"/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4"/>
      <c r="Y288" s="4"/>
      <c r="Z288" s="11"/>
    </row>
    <row r="289" spans="1:26" ht="19.5" customHeight="1" x14ac:dyDescent="0.3">
      <c r="A289" s="4"/>
      <c r="B289" s="4"/>
      <c r="C289" s="99">
        <v>85393919</v>
      </c>
      <c r="D289" s="99" t="s">
        <v>73</v>
      </c>
      <c r="E289" s="100">
        <v>101.11</v>
      </c>
      <c r="F289" s="4"/>
      <c r="G289" s="4"/>
      <c r="H289" s="4"/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  <c r="V289" s="4"/>
      <c r="W289" s="4"/>
      <c r="X289" s="4"/>
      <c r="Y289" s="4"/>
      <c r="Z289" s="11"/>
    </row>
    <row r="290" spans="1:26" ht="19.5" customHeight="1" x14ac:dyDescent="0.3">
      <c r="A290" s="4"/>
      <c r="B290" s="4"/>
      <c r="C290" s="99">
        <v>85394110</v>
      </c>
      <c r="D290" s="99" t="s">
        <v>73</v>
      </c>
      <c r="E290" s="100">
        <v>101.11</v>
      </c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11"/>
    </row>
    <row r="291" spans="1:26" ht="19.5" customHeight="1" x14ac:dyDescent="0.3">
      <c r="A291" s="4"/>
      <c r="B291" s="4"/>
      <c r="C291" s="99">
        <v>85394190</v>
      </c>
      <c r="D291" s="99" t="s">
        <v>73</v>
      </c>
      <c r="E291" s="100">
        <v>101.11</v>
      </c>
      <c r="F291" s="4"/>
      <c r="G291" s="4"/>
      <c r="H291" s="4"/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  <c r="W291" s="4"/>
      <c r="X291" s="4"/>
      <c r="Y291" s="4"/>
      <c r="Z291" s="11"/>
    </row>
    <row r="292" spans="1:26" ht="19.5" customHeight="1" x14ac:dyDescent="0.3">
      <c r="A292" s="4"/>
      <c r="B292" s="4"/>
      <c r="C292" s="99">
        <v>85395100</v>
      </c>
      <c r="D292" s="99" t="s">
        <v>73</v>
      </c>
      <c r="E292" s="100">
        <v>101.11</v>
      </c>
      <c r="F292" s="4"/>
      <c r="G292" s="4"/>
      <c r="H292" s="4"/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  <c r="Z292" s="11"/>
    </row>
    <row r="293" spans="1:26" ht="19.5" customHeight="1" x14ac:dyDescent="0.3">
      <c r="A293" s="4"/>
      <c r="B293" s="4"/>
      <c r="C293" s="99">
        <v>85395200</v>
      </c>
      <c r="D293" s="99" t="s">
        <v>73</v>
      </c>
      <c r="E293" s="100">
        <v>101.11</v>
      </c>
      <c r="F293" s="4"/>
      <c r="G293" s="4"/>
      <c r="H293" s="4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  <c r="Y293" s="4"/>
      <c r="Z293" s="11"/>
    </row>
    <row r="294" spans="1:26" ht="19.5" customHeight="1" x14ac:dyDescent="0.3">
      <c r="A294" s="4"/>
      <c r="B294" s="4"/>
      <c r="C294" s="99">
        <v>85399090</v>
      </c>
      <c r="D294" s="99" t="s">
        <v>73</v>
      </c>
      <c r="E294" s="100">
        <v>101.11</v>
      </c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11"/>
    </row>
    <row r="295" spans="1:26" ht="19.5" customHeight="1" x14ac:dyDescent="0.3">
      <c r="A295" s="4"/>
      <c r="B295" s="4"/>
      <c r="C295" s="99">
        <v>85408990</v>
      </c>
      <c r="D295" s="99" t="s">
        <v>73</v>
      </c>
      <c r="E295" s="100">
        <v>136.85</v>
      </c>
      <c r="F295" s="4"/>
      <c r="G295" s="4"/>
      <c r="H295" s="4"/>
      <c r="I295" s="4"/>
      <c r="J295" s="4"/>
      <c r="K295" s="4"/>
      <c r="L295" s="4"/>
      <c r="M295" s="4"/>
      <c r="N295" s="4"/>
      <c r="O295" s="4"/>
      <c r="P295" s="4"/>
      <c r="Q295" s="4"/>
      <c r="R295" s="4"/>
      <c r="S295" s="4"/>
      <c r="T295" s="4"/>
      <c r="U295" s="4"/>
      <c r="V295" s="4"/>
      <c r="W295" s="4"/>
      <c r="X295" s="4"/>
      <c r="Y295" s="4"/>
      <c r="Z295" s="11"/>
    </row>
    <row r="296" spans="1:26" ht="19.5" customHeight="1" x14ac:dyDescent="0.3">
      <c r="A296" s="4"/>
      <c r="B296" s="4"/>
      <c r="C296" s="99">
        <v>85414022</v>
      </c>
      <c r="D296" s="99" t="s">
        <v>73</v>
      </c>
      <c r="E296" s="100">
        <v>77.680000000000007</v>
      </c>
      <c r="F296" s="4"/>
      <c r="G296" s="4"/>
      <c r="H296" s="4"/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Y296" s="4"/>
      <c r="Z296" s="11"/>
    </row>
    <row r="297" spans="1:26" ht="19.5" customHeight="1" x14ac:dyDescent="0.3">
      <c r="A297" s="4"/>
      <c r="B297" s="4"/>
      <c r="C297" s="99">
        <v>85414029</v>
      </c>
      <c r="D297" s="99" t="s">
        <v>73</v>
      </c>
      <c r="E297" s="100">
        <v>77.680000000000007</v>
      </c>
      <c r="F297" s="4"/>
      <c r="G297" s="4"/>
      <c r="H297" s="4"/>
      <c r="I297" s="4"/>
      <c r="J297" s="4"/>
      <c r="K297" s="4"/>
      <c r="L297" s="4"/>
      <c r="M297" s="4"/>
      <c r="N297" s="4"/>
      <c r="O297" s="4"/>
      <c r="P297" s="4"/>
      <c r="Q297" s="4"/>
      <c r="R297" s="4"/>
      <c r="S297" s="4"/>
      <c r="T297" s="4"/>
      <c r="U297" s="4"/>
      <c r="V297" s="4"/>
      <c r="W297" s="4"/>
      <c r="X297" s="4"/>
      <c r="Y297" s="4"/>
      <c r="Z297" s="11"/>
    </row>
    <row r="298" spans="1:26" ht="19.5" customHeight="1" x14ac:dyDescent="0.3">
      <c r="A298" s="4"/>
      <c r="B298" s="4"/>
      <c r="C298" s="99">
        <v>85414039</v>
      </c>
      <c r="D298" s="99" t="s">
        <v>73</v>
      </c>
      <c r="E298" s="100">
        <v>77.680000000000007</v>
      </c>
      <c r="F298" s="4"/>
      <c r="G298" s="4"/>
      <c r="H298" s="4"/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  <c r="Z298" s="11"/>
    </row>
    <row r="299" spans="1:26" ht="19.5" customHeight="1" x14ac:dyDescent="0.3">
      <c r="A299" s="4"/>
      <c r="B299" s="4"/>
      <c r="C299" s="99">
        <v>85414122</v>
      </c>
      <c r="D299" s="99" t="s">
        <v>73</v>
      </c>
      <c r="E299" s="100">
        <v>77.680000000000007</v>
      </c>
      <c r="F299" s="4"/>
      <c r="G299" s="4"/>
      <c r="H299" s="4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  <c r="Z299" s="11"/>
    </row>
    <row r="300" spans="1:26" ht="19.5" customHeight="1" x14ac:dyDescent="0.3">
      <c r="A300" s="4"/>
      <c r="B300" s="4"/>
      <c r="C300" s="99">
        <v>85419010</v>
      </c>
      <c r="D300" s="99" t="s">
        <v>73</v>
      </c>
      <c r="E300" s="100">
        <v>77.680000000000007</v>
      </c>
      <c r="F300" s="4"/>
      <c r="G300" s="4"/>
      <c r="H300" s="4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  <c r="Z300" s="11"/>
    </row>
    <row r="301" spans="1:26" ht="19.5" customHeight="1" x14ac:dyDescent="0.3">
      <c r="A301" s="4"/>
      <c r="B301" s="4"/>
      <c r="C301" s="99">
        <v>85423190</v>
      </c>
      <c r="D301" s="99" t="s">
        <v>73</v>
      </c>
      <c r="E301" s="100"/>
      <c r="F301" s="4"/>
      <c r="G301" s="4"/>
      <c r="H301" s="4"/>
      <c r="I301" s="4"/>
      <c r="J301" s="4"/>
      <c r="K301" s="4"/>
      <c r="L301" s="4"/>
      <c r="M301" s="4"/>
      <c r="N301" s="4"/>
      <c r="O301" s="4"/>
      <c r="P301" s="4"/>
      <c r="Q301" s="4"/>
      <c r="R301" s="4"/>
      <c r="S301" s="4"/>
      <c r="T301" s="4"/>
      <c r="U301" s="4"/>
      <c r="V301" s="4"/>
      <c r="W301" s="4"/>
      <c r="X301" s="4"/>
      <c r="Y301" s="4"/>
      <c r="Z301" s="11"/>
    </row>
    <row r="302" spans="1:26" ht="19.5" customHeight="1" x14ac:dyDescent="0.3">
      <c r="A302" s="4"/>
      <c r="B302" s="4"/>
      <c r="C302" s="99">
        <v>85432000</v>
      </c>
      <c r="D302" s="99" t="s">
        <v>73</v>
      </c>
      <c r="E302" s="100">
        <v>88.62</v>
      </c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11"/>
    </row>
    <row r="303" spans="1:26" ht="19.5" customHeight="1" x14ac:dyDescent="0.3">
      <c r="A303" s="4"/>
      <c r="B303" s="4"/>
      <c r="C303" s="99">
        <v>85433697</v>
      </c>
      <c r="D303" s="99" t="s">
        <v>73</v>
      </c>
      <c r="E303" s="100">
        <v>88.62</v>
      </c>
      <c r="F303" s="4"/>
      <c r="G303" s="4"/>
      <c r="H303" s="4"/>
      <c r="I303" s="4"/>
      <c r="J303" s="4"/>
      <c r="K303" s="4"/>
      <c r="L303" s="4"/>
      <c r="M303" s="4"/>
      <c r="N303" s="4"/>
      <c r="O303" s="4"/>
      <c r="P303" s="4"/>
      <c r="Q303" s="4"/>
      <c r="R303" s="4"/>
      <c r="S303" s="4"/>
      <c r="T303" s="4"/>
      <c r="U303" s="4"/>
      <c r="V303" s="4"/>
      <c r="W303" s="4"/>
      <c r="X303" s="4"/>
      <c r="Y303" s="4"/>
      <c r="Z303" s="11"/>
    </row>
    <row r="304" spans="1:26" ht="19.5" customHeight="1" x14ac:dyDescent="0.3">
      <c r="A304" s="4"/>
      <c r="B304" s="4"/>
      <c r="C304" s="99">
        <v>85437099</v>
      </c>
      <c r="D304" s="99" t="s">
        <v>73</v>
      </c>
      <c r="E304" s="100">
        <v>88.62</v>
      </c>
      <c r="F304" s="4"/>
      <c r="G304" s="4"/>
      <c r="H304" s="4"/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  <c r="V304" s="4"/>
      <c r="W304" s="4"/>
      <c r="X304" s="4"/>
      <c r="Y304" s="4"/>
      <c r="Z304" s="11"/>
    </row>
    <row r="305" spans="1:26" ht="19.5" customHeight="1" x14ac:dyDescent="0.3">
      <c r="A305" s="4"/>
      <c r="B305" s="4"/>
      <c r="C305" s="99">
        <v>85439010</v>
      </c>
      <c r="D305" s="99" t="s">
        <v>73</v>
      </c>
      <c r="E305" s="100">
        <v>88.62</v>
      </c>
      <c r="F305" s="4"/>
      <c r="G305" s="4"/>
      <c r="H305" s="4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11"/>
    </row>
    <row r="306" spans="1:26" ht="19.5" customHeight="1" x14ac:dyDescent="0.3">
      <c r="A306" s="4"/>
      <c r="B306" s="4"/>
      <c r="C306" s="99">
        <v>85441100</v>
      </c>
      <c r="D306" s="99" t="s">
        <v>73</v>
      </c>
      <c r="E306" s="100"/>
      <c r="F306" s="4"/>
      <c r="G306" s="4"/>
      <c r="H306" s="4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  <c r="Y306" s="4"/>
      <c r="Z306" s="11"/>
    </row>
    <row r="307" spans="1:26" ht="19.5" customHeight="1" x14ac:dyDescent="0.3">
      <c r="A307" s="4"/>
      <c r="B307" s="4"/>
      <c r="C307" s="99">
        <v>85442000</v>
      </c>
      <c r="D307" s="99" t="s">
        <v>73</v>
      </c>
      <c r="E307" s="100"/>
      <c r="F307" s="4"/>
      <c r="G307" s="4"/>
      <c r="H307" s="4"/>
      <c r="I307" s="4"/>
      <c r="J307" s="4"/>
      <c r="K307" s="4"/>
      <c r="L307" s="4"/>
      <c r="M307" s="4"/>
      <c r="N307" s="4"/>
      <c r="O307" s="4"/>
      <c r="P307" s="4"/>
      <c r="Q307" s="4"/>
      <c r="R307" s="4"/>
      <c r="S307" s="4"/>
      <c r="T307" s="4"/>
      <c r="U307" s="4"/>
      <c r="V307" s="4"/>
      <c r="W307" s="4"/>
      <c r="X307" s="4"/>
      <c r="Y307" s="4"/>
      <c r="Z307" s="11"/>
    </row>
    <row r="308" spans="1:26" ht="19.5" customHeight="1" x14ac:dyDescent="0.3">
      <c r="A308" s="4"/>
      <c r="B308" s="4"/>
      <c r="C308" s="99">
        <v>85444200</v>
      </c>
      <c r="D308" s="99" t="s">
        <v>73</v>
      </c>
      <c r="E308" s="100">
        <v>65.069999999999993</v>
      </c>
      <c r="F308" s="4"/>
      <c r="G308" s="4"/>
      <c r="H308" s="4"/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4"/>
      <c r="X308" s="4"/>
      <c r="Y308" s="4"/>
      <c r="Z308" s="11"/>
    </row>
    <row r="309" spans="1:26" ht="19.5" customHeight="1" x14ac:dyDescent="0.3">
      <c r="A309" s="4"/>
      <c r="B309" s="4"/>
      <c r="C309" s="99">
        <v>85444900</v>
      </c>
      <c r="D309" s="99" t="s">
        <v>73</v>
      </c>
      <c r="E309" s="100"/>
      <c r="F309" s="4"/>
      <c r="G309" s="4"/>
      <c r="H309" s="4"/>
      <c r="I309" s="4"/>
      <c r="J309" s="4"/>
      <c r="K309" s="4"/>
      <c r="L309" s="4"/>
      <c r="M309" s="4"/>
      <c r="N309" s="4"/>
      <c r="O309" s="4"/>
      <c r="P309" s="4"/>
      <c r="Q309" s="4"/>
      <c r="R309" s="4"/>
      <c r="S309" s="4"/>
      <c r="T309" s="4"/>
      <c r="U309" s="4"/>
      <c r="V309" s="4"/>
      <c r="W309" s="4"/>
      <c r="X309" s="4"/>
      <c r="Y309" s="4"/>
      <c r="Z309" s="11"/>
    </row>
    <row r="310" spans="1:26" ht="19.5" customHeight="1" x14ac:dyDescent="0.3">
      <c r="A310" s="4"/>
      <c r="B310" s="4"/>
      <c r="C310" s="99">
        <v>85447010</v>
      </c>
      <c r="D310" s="99" t="s">
        <v>73</v>
      </c>
      <c r="E310" s="100"/>
      <c r="F310" s="4"/>
      <c r="G310" s="4"/>
      <c r="H310" s="4"/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11"/>
    </row>
    <row r="311" spans="1:26" ht="19.5" customHeight="1" x14ac:dyDescent="0.3">
      <c r="A311" s="4"/>
      <c r="B311" s="4"/>
      <c r="C311" s="99">
        <v>85449000</v>
      </c>
      <c r="D311" s="99" t="s">
        <v>73</v>
      </c>
      <c r="E311" s="100"/>
      <c r="F311" s="4"/>
      <c r="G311" s="4"/>
      <c r="H311" s="4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4"/>
      <c r="X311" s="4"/>
      <c r="Y311" s="4"/>
      <c r="Z311" s="11"/>
    </row>
    <row r="312" spans="1:26" ht="19.5" customHeight="1" x14ac:dyDescent="0.3">
      <c r="A312" s="4"/>
      <c r="B312" s="4"/>
      <c r="C312" s="99">
        <v>85462000</v>
      </c>
      <c r="D312" s="99" t="s">
        <v>73</v>
      </c>
      <c r="E312" s="100"/>
      <c r="F312" s="4"/>
      <c r="G312" s="4"/>
      <c r="H312" s="4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4"/>
      <c r="X312" s="4"/>
      <c r="Y312" s="4"/>
      <c r="Z312" s="11"/>
    </row>
    <row r="313" spans="1:26" ht="19.5" customHeight="1" x14ac:dyDescent="0.3">
      <c r="A313" s="4"/>
      <c r="B313" s="4"/>
      <c r="C313" s="99">
        <v>85469000</v>
      </c>
      <c r="D313" s="99" t="s">
        <v>73</v>
      </c>
      <c r="E313" s="100"/>
      <c r="F313" s="4"/>
      <c r="G313" s="4"/>
      <c r="H313" s="4"/>
      <c r="I313" s="4"/>
      <c r="J313" s="4"/>
      <c r="K313" s="4"/>
      <c r="L313" s="4"/>
      <c r="M313" s="4"/>
      <c r="N313" s="4"/>
      <c r="O313" s="4"/>
      <c r="P313" s="4"/>
      <c r="Q313" s="4"/>
      <c r="R313" s="4"/>
      <c r="S313" s="4"/>
      <c r="T313" s="4"/>
      <c r="U313" s="4"/>
      <c r="V313" s="4"/>
      <c r="W313" s="4"/>
      <c r="X313" s="4"/>
      <c r="Y313" s="4"/>
      <c r="Z313" s="11"/>
    </row>
    <row r="314" spans="1:26" ht="19.5" customHeight="1" x14ac:dyDescent="0.3">
      <c r="A314" s="4"/>
      <c r="B314" s="4"/>
      <c r="C314" s="99">
        <v>85471000</v>
      </c>
      <c r="D314" s="99" t="s">
        <v>73</v>
      </c>
      <c r="E314" s="100">
        <v>88.62</v>
      </c>
      <c r="F314" s="4"/>
      <c r="G314" s="4"/>
      <c r="H314" s="4"/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4"/>
      <c r="X314" s="4"/>
      <c r="Y314" s="4"/>
      <c r="Z314" s="11"/>
    </row>
    <row r="315" spans="1:26" ht="19.5" customHeight="1" x14ac:dyDescent="0.3">
      <c r="A315" s="4"/>
      <c r="B315" s="4"/>
      <c r="C315" s="99">
        <v>85472090</v>
      </c>
      <c r="D315" s="99" t="s">
        <v>73</v>
      </c>
      <c r="E315" s="100">
        <v>88.62</v>
      </c>
      <c r="F315" s="4"/>
      <c r="G315" s="4"/>
      <c r="H315" s="4"/>
      <c r="I315" s="4"/>
      <c r="J315" s="4"/>
      <c r="K315" s="4"/>
      <c r="L315" s="4"/>
      <c r="M315" s="4"/>
      <c r="N315" s="4"/>
      <c r="O315" s="4"/>
      <c r="P315" s="4"/>
      <c r="Q315" s="4"/>
      <c r="R315" s="4"/>
      <c r="S315" s="4"/>
      <c r="T315" s="4"/>
      <c r="U315" s="4"/>
      <c r="V315" s="4"/>
      <c r="W315" s="4"/>
      <c r="X315" s="4"/>
      <c r="Y315" s="4"/>
      <c r="Z315" s="11"/>
    </row>
    <row r="316" spans="1:26" ht="19.5" customHeight="1" x14ac:dyDescent="0.3">
      <c r="A316" s="4"/>
      <c r="B316" s="4"/>
      <c r="C316" s="99">
        <v>87082999</v>
      </c>
      <c r="D316" s="99" t="s">
        <v>73</v>
      </c>
      <c r="E316" s="100">
        <v>101.11</v>
      </c>
      <c r="F316" s="4"/>
      <c r="G316" s="4"/>
      <c r="H316" s="4"/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4"/>
      <c r="U316" s="4"/>
      <c r="V316" s="4"/>
      <c r="W316" s="4"/>
      <c r="X316" s="4"/>
      <c r="Y316" s="4"/>
      <c r="Z316" s="11"/>
    </row>
    <row r="317" spans="1:26" ht="19.5" customHeight="1" x14ac:dyDescent="0.3">
      <c r="A317" s="4"/>
      <c r="B317" s="4"/>
      <c r="C317" s="99">
        <v>90022090</v>
      </c>
      <c r="D317" s="99" t="s">
        <v>73</v>
      </c>
      <c r="E317" s="100"/>
      <c r="F317" s="4"/>
      <c r="G317" s="4"/>
      <c r="H317" s="4"/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/>
      <c r="X317" s="4"/>
      <c r="Y317" s="4"/>
      <c r="Z317" s="11"/>
    </row>
    <row r="318" spans="1:26" ht="19.5" customHeight="1" x14ac:dyDescent="0.3">
      <c r="A318" s="4"/>
      <c r="B318" s="4"/>
      <c r="C318" s="99">
        <v>90039000</v>
      </c>
      <c r="D318" s="99" t="s">
        <v>73</v>
      </c>
      <c r="E318" s="100"/>
      <c r="F318" s="4"/>
      <c r="G318" s="4"/>
      <c r="H318" s="4"/>
      <c r="I318" s="4"/>
      <c r="J318" s="4"/>
      <c r="K318" s="4"/>
      <c r="L318" s="4"/>
      <c r="M318" s="4"/>
      <c r="N318" s="4"/>
      <c r="O318" s="4"/>
      <c r="P318" s="4"/>
      <c r="Q318" s="4"/>
      <c r="R318" s="4"/>
      <c r="S318" s="4"/>
      <c r="T318" s="4"/>
      <c r="U318" s="4"/>
      <c r="V318" s="4"/>
      <c r="W318" s="4"/>
      <c r="X318" s="4"/>
      <c r="Y318" s="4"/>
      <c r="Z318" s="11"/>
    </row>
    <row r="319" spans="1:26" ht="19.5" customHeight="1" x14ac:dyDescent="0.3">
      <c r="A319" s="4"/>
      <c r="B319" s="4"/>
      <c r="C319" s="99">
        <v>90069900</v>
      </c>
      <c r="D319" s="99" t="s">
        <v>73</v>
      </c>
      <c r="E319" s="100"/>
      <c r="F319" s="4"/>
      <c r="G319" s="4"/>
      <c r="H319" s="4"/>
      <c r="I319" s="4"/>
      <c r="J319" s="4"/>
      <c r="K319" s="4"/>
      <c r="L319" s="4"/>
      <c r="M319" s="4"/>
      <c r="N319" s="4"/>
      <c r="O319" s="4"/>
      <c r="P319" s="4"/>
      <c r="Q319" s="4"/>
      <c r="R319" s="4"/>
      <c r="S319" s="4"/>
      <c r="T319" s="4"/>
      <c r="U319" s="4"/>
      <c r="V319" s="4"/>
      <c r="W319" s="4"/>
      <c r="X319" s="4"/>
      <c r="Y319" s="4"/>
      <c r="Z319" s="11"/>
    </row>
    <row r="320" spans="1:26" ht="19.5" customHeight="1" x14ac:dyDescent="0.3">
      <c r="A320" s="4"/>
      <c r="B320" s="4"/>
      <c r="C320" s="99">
        <v>90151000</v>
      </c>
      <c r="D320" s="99" t="s">
        <v>73</v>
      </c>
      <c r="E320" s="100"/>
      <c r="F320" s="4"/>
      <c r="G320" s="4"/>
      <c r="H320" s="4"/>
      <c r="I320" s="4"/>
      <c r="J320" s="4"/>
      <c r="K320" s="4"/>
      <c r="L320" s="4"/>
      <c r="M320" s="4"/>
      <c r="N320" s="4"/>
      <c r="O320" s="4"/>
      <c r="P320" s="4"/>
      <c r="Q320" s="4"/>
      <c r="R320" s="4"/>
      <c r="S320" s="4"/>
      <c r="T320" s="4"/>
      <c r="U320" s="4"/>
      <c r="V320" s="4"/>
      <c r="W320" s="4"/>
      <c r="X320" s="4"/>
      <c r="Y320" s="4"/>
      <c r="Z320" s="11"/>
    </row>
    <row r="321" spans="1:26" ht="19.5" customHeight="1" x14ac:dyDescent="0.3">
      <c r="A321" s="4"/>
      <c r="B321" s="4"/>
      <c r="C321" s="99">
        <v>90153000</v>
      </c>
      <c r="D321" s="99" t="s">
        <v>73</v>
      </c>
      <c r="E321" s="100"/>
      <c r="F321" s="4"/>
      <c r="G321" s="4"/>
      <c r="H321" s="4"/>
      <c r="I321" s="4"/>
      <c r="J321" s="4"/>
      <c r="K321" s="4"/>
      <c r="L321" s="4"/>
      <c r="M321" s="4"/>
      <c r="N321" s="4"/>
      <c r="O321" s="4"/>
      <c r="P321" s="4"/>
      <c r="Q321" s="4"/>
      <c r="R321" s="4"/>
      <c r="S321" s="4"/>
      <c r="T321" s="4"/>
      <c r="U321" s="4"/>
      <c r="V321" s="4"/>
      <c r="W321" s="4"/>
      <c r="X321" s="4"/>
      <c r="Y321" s="4"/>
      <c r="Z321" s="11"/>
    </row>
    <row r="322" spans="1:26" ht="19.5" customHeight="1" x14ac:dyDescent="0.3">
      <c r="A322" s="4"/>
      <c r="B322" s="4"/>
      <c r="C322" s="99">
        <v>90178010</v>
      </c>
      <c r="D322" s="99" t="s">
        <v>73</v>
      </c>
      <c r="E322" s="100"/>
      <c r="F322" s="4"/>
      <c r="G322" s="4"/>
      <c r="H322" s="4"/>
      <c r="I322" s="4"/>
      <c r="J322" s="4"/>
      <c r="K322" s="4"/>
      <c r="L322" s="4"/>
      <c r="M322" s="4"/>
      <c r="N322" s="4"/>
      <c r="O322" s="4"/>
      <c r="P322" s="4"/>
      <c r="Q322" s="4"/>
      <c r="R322" s="4"/>
      <c r="S322" s="4"/>
      <c r="T322" s="4"/>
      <c r="U322" s="4"/>
      <c r="V322" s="4"/>
      <c r="W322" s="4"/>
      <c r="X322" s="4"/>
      <c r="Y322" s="4"/>
      <c r="Z322" s="11"/>
    </row>
    <row r="323" spans="1:26" ht="19.5" customHeight="1" x14ac:dyDescent="0.3">
      <c r="A323" s="4"/>
      <c r="B323" s="4"/>
      <c r="C323" s="99">
        <v>90178090</v>
      </c>
      <c r="D323" s="99" t="s">
        <v>73</v>
      </c>
      <c r="E323" s="100"/>
      <c r="F323" s="4"/>
      <c r="G323" s="4"/>
      <c r="H323" s="4"/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/>
      <c r="X323" s="4"/>
      <c r="Y323" s="4"/>
      <c r="Z323" s="11"/>
    </row>
    <row r="324" spans="1:26" ht="19.5" customHeight="1" x14ac:dyDescent="0.3">
      <c r="A324" s="4"/>
      <c r="B324" s="4"/>
      <c r="C324" s="99">
        <v>90230000</v>
      </c>
      <c r="D324" s="99" t="s">
        <v>73</v>
      </c>
      <c r="E324" s="100"/>
      <c r="F324" s="4"/>
      <c r="G324" s="4"/>
      <c r="H324" s="4"/>
      <c r="I324" s="4"/>
      <c r="J324" s="4"/>
      <c r="K324" s="4"/>
      <c r="L324" s="4"/>
      <c r="M324" s="4"/>
      <c r="N324" s="4"/>
      <c r="O324" s="4"/>
      <c r="P324" s="4"/>
      <c r="Q324" s="4"/>
      <c r="R324" s="4"/>
      <c r="S324" s="4"/>
      <c r="T324" s="4"/>
      <c r="U324" s="4"/>
      <c r="V324" s="4"/>
      <c r="W324" s="4"/>
      <c r="X324" s="4"/>
      <c r="Y324" s="4"/>
      <c r="Z324" s="11"/>
    </row>
    <row r="325" spans="1:26" ht="19.5" customHeight="1" x14ac:dyDescent="0.3">
      <c r="A325" s="4"/>
      <c r="B325" s="4"/>
      <c r="C325" s="99">
        <v>90251111</v>
      </c>
      <c r="D325" s="99" t="s">
        <v>73</v>
      </c>
      <c r="E325" s="100">
        <v>101.11</v>
      </c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11"/>
    </row>
    <row r="326" spans="1:26" ht="19.5" customHeight="1" x14ac:dyDescent="0.3">
      <c r="A326" s="4"/>
      <c r="B326" s="4"/>
      <c r="C326" s="99">
        <v>90261029</v>
      </c>
      <c r="D326" s="99" t="s">
        <v>73</v>
      </c>
      <c r="E326" s="100">
        <v>101.11</v>
      </c>
      <c r="F326" s="4"/>
      <c r="G326" s="4"/>
      <c r="H326" s="4"/>
      <c r="I326" s="4"/>
      <c r="J326" s="4"/>
      <c r="K326" s="4"/>
      <c r="L326" s="4"/>
      <c r="M326" s="4"/>
      <c r="N326" s="4"/>
      <c r="O326" s="4"/>
      <c r="P326" s="4"/>
      <c r="Q326" s="4"/>
      <c r="R326" s="4"/>
      <c r="S326" s="4"/>
      <c r="T326" s="4"/>
      <c r="U326" s="4"/>
      <c r="V326" s="4"/>
      <c r="W326" s="4"/>
      <c r="X326" s="4"/>
      <c r="Y326" s="4"/>
      <c r="Z326" s="11"/>
    </row>
    <row r="327" spans="1:26" ht="19.5" customHeight="1" x14ac:dyDescent="0.3">
      <c r="A327" s="4"/>
      <c r="B327" s="4"/>
      <c r="C327" s="99">
        <v>90269010</v>
      </c>
      <c r="D327" s="99" t="s">
        <v>73</v>
      </c>
      <c r="E327" s="100">
        <v>101.11</v>
      </c>
      <c r="F327" s="4"/>
      <c r="G327" s="4"/>
      <c r="H327" s="4"/>
      <c r="I327" s="4"/>
      <c r="J327" s="4"/>
      <c r="K327" s="4"/>
      <c r="L327" s="4"/>
      <c r="M327" s="4"/>
      <c r="N327" s="4"/>
      <c r="O327" s="4"/>
      <c r="P327" s="4"/>
      <c r="Q327" s="4"/>
      <c r="R327" s="4"/>
      <c r="S327" s="4"/>
      <c r="T327" s="4"/>
      <c r="U327" s="4"/>
      <c r="V327" s="4"/>
      <c r="W327" s="4"/>
      <c r="X327" s="4"/>
      <c r="Y327" s="4"/>
      <c r="Z327" s="11"/>
    </row>
    <row r="328" spans="1:26" ht="19.5" customHeight="1" x14ac:dyDescent="0.3">
      <c r="A328" s="4"/>
      <c r="B328" s="4"/>
      <c r="C328" s="99">
        <v>90275090</v>
      </c>
      <c r="D328" s="99" t="s">
        <v>73</v>
      </c>
      <c r="E328" s="100">
        <v>101.11</v>
      </c>
      <c r="F328" s="4"/>
      <c r="G328" s="4"/>
      <c r="H328" s="4"/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4"/>
      <c r="U328" s="4"/>
      <c r="V328" s="4"/>
      <c r="W328" s="4"/>
      <c r="X328" s="4"/>
      <c r="Y328" s="4"/>
      <c r="Z328" s="11"/>
    </row>
    <row r="329" spans="1:26" ht="19.5" customHeight="1" x14ac:dyDescent="0.3">
      <c r="A329" s="4"/>
      <c r="B329" s="4"/>
      <c r="C329" s="99">
        <v>90303100</v>
      </c>
      <c r="D329" s="99" t="s">
        <v>73</v>
      </c>
      <c r="E329" s="100">
        <v>101.11</v>
      </c>
      <c r="F329" s="4"/>
      <c r="G329" s="4"/>
      <c r="H329" s="4"/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  <c r="Z329" s="11"/>
    </row>
    <row r="330" spans="1:26" ht="19.5" customHeight="1" x14ac:dyDescent="0.3">
      <c r="A330" s="4"/>
      <c r="B330" s="4"/>
      <c r="C330" s="99">
        <v>90303319</v>
      </c>
      <c r="D330" s="99" t="s">
        <v>73</v>
      </c>
      <c r="E330" s="100">
        <v>101.11</v>
      </c>
      <c r="F330" s="4"/>
      <c r="G330" s="4"/>
      <c r="H330" s="4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  <c r="Y330" s="4"/>
      <c r="Z330" s="11"/>
    </row>
    <row r="331" spans="1:26" ht="19.5" customHeight="1" x14ac:dyDescent="0.3">
      <c r="A331" s="4"/>
      <c r="B331" s="4"/>
      <c r="C331" s="99">
        <v>90303329</v>
      </c>
      <c r="D331" s="99" t="s">
        <v>73</v>
      </c>
      <c r="E331" s="100">
        <v>101.11</v>
      </c>
      <c r="F331" s="4"/>
      <c r="G331" s="4"/>
      <c r="H331" s="4"/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  <c r="X331" s="4"/>
      <c r="Y331" s="4"/>
      <c r="Z331" s="11"/>
    </row>
    <row r="332" spans="1:26" ht="19.5" customHeight="1" x14ac:dyDescent="0.3">
      <c r="A332" s="4"/>
      <c r="B332" s="4"/>
      <c r="C332" s="99">
        <v>90303990</v>
      </c>
      <c r="D332" s="99" t="s">
        <v>73</v>
      </c>
      <c r="E332" s="100">
        <v>101.11</v>
      </c>
      <c r="F332" s="4"/>
      <c r="G332" s="4"/>
      <c r="H332" s="4"/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4"/>
      <c r="U332" s="4"/>
      <c r="V332" s="4"/>
      <c r="W332" s="4"/>
      <c r="X332" s="4"/>
      <c r="Y332" s="4"/>
      <c r="Z332" s="11"/>
    </row>
    <row r="333" spans="1:26" ht="19.5" customHeight="1" x14ac:dyDescent="0.3">
      <c r="A333" s="4"/>
      <c r="B333" s="4"/>
      <c r="C333" s="99">
        <v>90803135</v>
      </c>
      <c r="D333" s="99" t="s">
        <v>73</v>
      </c>
      <c r="E333" s="100"/>
      <c r="F333" s="4"/>
      <c r="G333" s="4"/>
      <c r="H333" s="4"/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4"/>
      <c r="X333" s="4"/>
      <c r="Y333" s="4"/>
      <c r="Z333" s="11"/>
    </row>
    <row r="334" spans="1:26" ht="19.5" customHeight="1" x14ac:dyDescent="0.3">
      <c r="A334" s="4"/>
      <c r="B334" s="4"/>
      <c r="C334" s="99">
        <v>91039000</v>
      </c>
      <c r="D334" s="99" t="s">
        <v>73</v>
      </c>
      <c r="E334" s="100"/>
      <c r="F334" s="4"/>
      <c r="G334" s="4"/>
      <c r="H334" s="4"/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4"/>
      <c r="U334" s="4"/>
      <c r="V334" s="4"/>
      <c r="W334" s="4"/>
      <c r="X334" s="4"/>
      <c r="Y334" s="4"/>
      <c r="Z334" s="11"/>
    </row>
    <row r="335" spans="1:26" ht="19.5" customHeight="1" x14ac:dyDescent="0.3">
      <c r="A335" s="4"/>
      <c r="B335" s="4"/>
      <c r="C335" s="99">
        <v>91070010</v>
      </c>
      <c r="D335" s="99" t="s">
        <v>73</v>
      </c>
      <c r="E335" s="100">
        <v>73.27</v>
      </c>
      <c r="F335" s="4"/>
      <c r="G335" s="4"/>
      <c r="H335" s="4"/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4"/>
      <c r="Y335" s="4"/>
      <c r="Z335" s="11"/>
    </row>
    <row r="336" spans="1:26" ht="19.5" customHeight="1" x14ac:dyDescent="0.3">
      <c r="A336" s="4"/>
      <c r="B336" s="4"/>
      <c r="C336" s="99">
        <v>91070090</v>
      </c>
      <c r="D336" s="99" t="s">
        <v>73</v>
      </c>
      <c r="E336" s="100">
        <v>73.27</v>
      </c>
      <c r="F336" s="4"/>
      <c r="G336" s="4"/>
      <c r="H336" s="4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  <c r="Y336" s="4"/>
      <c r="Z336" s="11"/>
    </row>
    <row r="337" spans="1:26" ht="19.5" customHeight="1" x14ac:dyDescent="0.3">
      <c r="A337" s="4"/>
      <c r="B337" s="4"/>
      <c r="C337" s="99">
        <v>92099900</v>
      </c>
      <c r="D337" s="99" t="s">
        <v>73</v>
      </c>
      <c r="E337" s="100"/>
      <c r="F337" s="4"/>
      <c r="G337" s="4"/>
      <c r="H337" s="4"/>
      <c r="I337" s="4"/>
      <c r="J337" s="4"/>
      <c r="K337" s="4"/>
      <c r="L337" s="4"/>
      <c r="M337" s="4"/>
      <c r="N337" s="4"/>
      <c r="O337" s="4"/>
      <c r="P337" s="4"/>
      <c r="Q337" s="4"/>
      <c r="R337" s="4"/>
      <c r="S337" s="4"/>
      <c r="T337" s="4"/>
      <c r="U337" s="4"/>
      <c r="V337" s="4"/>
      <c r="W337" s="4"/>
      <c r="X337" s="4"/>
      <c r="Y337" s="4"/>
      <c r="Z337" s="11"/>
    </row>
    <row r="338" spans="1:26" ht="19.5" customHeight="1" x14ac:dyDescent="0.3">
      <c r="A338" s="4"/>
      <c r="B338" s="4"/>
      <c r="C338" s="99">
        <v>94032000</v>
      </c>
      <c r="D338" s="99" t="s">
        <v>73</v>
      </c>
      <c r="E338" s="100"/>
      <c r="F338" s="4"/>
      <c r="G338" s="4"/>
      <c r="H338" s="4"/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  <c r="Z338" s="11"/>
    </row>
    <row r="339" spans="1:26" ht="19.5" customHeight="1" x14ac:dyDescent="0.3">
      <c r="A339" s="4"/>
      <c r="B339" s="4"/>
      <c r="C339" s="99">
        <v>94051010</v>
      </c>
      <c r="D339" s="99" t="s">
        <v>73</v>
      </c>
      <c r="E339" s="100">
        <v>77.95</v>
      </c>
      <c r="F339" s="4"/>
      <c r="G339" s="4"/>
      <c r="H339" s="4"/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4"/>
      <c r="X339" s="4"/>
      <c r="Y339" s="4"/>
      <c r="Z339" s="11"/>
    </row>
    <row r="340" spans="1:26" ht="19.5" customHeight="1" x14ac:dyDescent="0.3">
      <c r="A340" s="4"/>
      <c r="B340" s="4"/>
      <c r="C340" s="99">
        <v>94051090</v>
      </c>
      <c r="D340" s="99" t="s">
        <v>73</v>
      </c>
      <c r="E340" s="100">
        <v>77.95</v>
      </c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11"/>
    </row>
    <row r="341" spans="1:26" ht="19.5" customHeight="1" x14ac:dyDescent="0.3">
      <c r="A341" s="4"/>
      <c r="B341" s="4"/>
      <c r="C341" s="99">
        <v>94051092</v>
      </c>
      <c r="D341" s="99" t="s">
        <v>73</v>
      </c>
      <c r="E341" s="100">
        <v>77.95</v>
      </c>
      <c r="F341" s="4"/>
      <c r="G341" s="4"/>
      <c r="H341" s="4"/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  <c r="Z341" s="11"/>
    </row>
    <row r="342" spans="1:26" ht="19.5" customHeight="1" x14ac:dyDescent="0.3">
      <c r="A342" s="4"/>
      <c r="B342" s="4"/>
      <c r="C342" s="99">
        <v>94051093</v>
      </c>
      <c r="D342" s="99" t="s">
        <v>73</v>
      </c>
      <c r="E342" s="100">
        <v>77.95</v>
      </c>
      <c r="F342" s="4"/>
      <c r="G342" s="4"/>
      <c r="H342" s="4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Y342" s="4"/>
      <c r="Z342" s="11"/>
    </row>
    <row r="343" spans="1:26" ht="19.5" customHeight="1" x14ac:dyDescent="0.3">
      <c r="A343" s="4"/>
      <c r="B343" s="4"/>
      <c r="C343" s="99">
        <v>94051099</v>
      </c>
      <c r="D343" s="99" t="s">
        <v>73</v>
      </c>
      <c r="E343" s="100">
        <v>77.95</v>
      </c>
      <c r="F343" s="4"/>
      <c r="G343" s="4"/>
      <c r="H343" s="4"/>
      <c r="I343" s="4"/>
      <c r="J343" s="4"/>
      <c r="K343" s="4"/>
      <c r="L343" s="4"/>
      <c r="M343" s="4"/>
      <c r="N343" s="4"/>
      <c r="O343" s="4"/>
      <c r="P343" s="4"/>
      <c r="Q343" s="4"/>
      <c r="R343" s="4"/>
      <c r="S343" s="4"/>
      <c r="T343" s="4"/>
      <c r="U343" s="4"/>
      <c r="V343" s="4"/>
      <c r="W343" s="4"/>
      <c r="X343" s="4"/>
      <c r="Y343" s="4"/>
      <c r="Z343" s="11"/>
    </row>
    <row r="344" spans="1:26" ht="19.5" customHeight="1" x14ac:dyDescent="0.3">
      <c r="A344" s="4"/>
      <c r="B344" s="4"/>
      <c r="C344" s="99">
        <v>94051190</v>
      </c>
      <c r="D344" s="99" t="s">
        <v>73</v>
      </c>
      <c r="E344" s="100">
        <v>77.95</v>
      </c>
      <c r="F344" s="4"/>
      <c r="G344" s="4"/>
      <c r="H344" s="4"/>
      <c r="I344" s="4"/>
      <c r="J344" s="4"/>
      <c r="K344" s="4"/>
      <c r="L344" s="4"/>
      <c r="M344" s="4"/>
      <c r="N344" s="4"/>
      <c r="O344" s="4"/>
      <c r="P344" s="4"/>
      <c r="Q344" s="4"/>
      <c r="R344" s="4"/>
      <c r="S344" s="4"/>
      <c r="T344" s="4"/>
      <c r="U344" s="4"/>
      <c r="V344" s="4"/>
      <c r="W344" s="4"/>
      <c r="X344" s="4"/>
      <c r="Y344" s="4"/>
      <c r="Z344" s="11"/>
    </row>
    <row r="345" spans="1:26" ht="19.5" customHeight="1" x14ac:dyDescent="0.3">
      <c r="A345" s="4"/>
      <c r="B345" s="4"/>
      <c r="C345" s="99">
        <v>94051990</v>
      </c>
      <c r="D345" s="99" t="s">
        <v>73</v>
      </c>
      <c r="E345" s="100">
        <v>77.95</v>
      </c>
      <c r="F345" s="4"/>
      <c r="G345" s="4"/>
      <c r="H345" s="4"/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4"/>
      <c r="V345" s="4"/>
      <c r="W345" s="4"/>
      <c r="X345" s="4"/>
      <c r="Y345" s="4"/>
      <c r="Z345" s="11"/>
    </row>
    <row r="346" spans="1:26" ht="19.5" customHeight="1" x14ac:dyDescent="0.3">
      <c r="A346" s="4"/>
      <c r="B346" s="4"/>
      <c r="C346" s="99">
        <v>94052000</v>
      </c>
      <c r="D346" s="99" t="s">
        <v>73</v>
      </c>
      <c r="E346" s="100">
        <v>77.95</v>
      </c>
      <c r="F346" s="4"/>
      <c r="G346" s="4"/>
      <c r="H346" s="4"/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4"/>
      <c r="U346" s="4"/>
      <c r="V346" s="4"/>
      <c r="W346" s="4"/>
      <c r="X346" s="4"/>
      <c r="Y346" s="4"/>
      <c r="Z346" s="11"/>
    </row>
    <row r="347" spans="1:26" ht="19.5" customHeight="1" x14ac:dyDescent="0.3">
      <c r="A347" s="4"/>
      <c r="B347" s="4"/>
      <c r="C347" s="99">
        <v>94052100</v>
      </c>
      <c r="D347" s="99" t="s">
        <v>73</v>
      </c>
      <c r="E347" s="100">
        <v>77.95</v>
      </c>
      <c r="F347" s="4"/>
      <c r="G347" s="4"/>
      <c r="H347" s="4"/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  <c r="W347" s="4"/>
      <c r="X347" s="4"/>
      <c r="Y347" s="4"/>
      <c r="Z347" s="11"/>
    </row>
    <row r="348" spans="1:26" ht="19.5" customHeight="1" x14ac:dyDescent="0.3">
      <c r="A348" s="4"/>
      <c r="B348" s="4"/>
      <c r="C348" s="99">
        <v>94053100</v>
      </c>
      <c r="D348" s="99" t="s">
        <v>73</v>
      </c>
      <c r="E348" s="100">
        <v>77.95</v>
      </c>
      <c r="F348" s="4"/>
      <c r="G348" s="4"/>
      <c r="H348" s="4"/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4"/>
      <c r="U348" s="4"/>
      <c r="V348" s="4"/>
      <c r="W348" s="4"/>
      <c r="X348" s="4"/>
      <c r="Y348" s="4"/>
      <c r="Z348" s="11"/>
    </row>
    <row r="349" spans="1:26" ht="19.5" customHeight="1" x14ac:dyDescent="0.3">
      <c r="A349" s="4"/>
      <c r="B349" s="4"/>
      <c r="C349" s="99">
        <v>94053900</v>
      </c>
      <c r="D349" s="99" t="s">
        <v>73</v>
      </c>
      <c r="E349" s="100">
        <v>77.95</v>
      </c>
      <c r="F349" s="4"/>
      <c r="G349" s="4"/>
      <c r="H349" s="4"/>
      <c r="I349" s="4"/>
      <c r="J349" s="4"/>
      <c r="K349" s="4"/>
      <c r="L349" s="4"/>
      <c r="M349" s="4"/>
      <c r="N349" s="4"/>
      <c r="O349" s="4"/>
      <c r="P349" s="4"/>
      <c r="Q349" s="4"/>
      <c r="R349" s="4"/>
      <c r="S349" s="4"/>
      <c r="T349" s="4"/>
      <c r="U349" s="4"/>
      <c r="V349" s="4"/>
      <c r="W349" s="4"/>
      <c r="X349" s="4"/>
      <c r="Y349" s="4"/>
      <c r="Z349" s="11"/>
    </row>
    <row r="350" spans="1:26" ht="19.5" customHeight="1" x14ac:dyDescent="0.3">
      <c r="A350" s="4"/>
      <c r="B350" s="4"/>
      <c r="C350" s="99">
        <v>94054010</v>
      </c>
      <c r="D350" s="99" t="s">
        <v>73</v>
      </c>
      <c r="E350" s="100">
        <v>77.95</v>
      </c>
      <c r="F350" s="4"/>
      <c r="G350" s="4"/>
      <c r="H350" s="4"/>
      <c r="I350" s="4"/>
      <c r="J350" s="4"/>
      <c r="K350" s="4"/>
      <c r="L350" s="4"/>
      <c r="M350" s="4"/>
      <c r="N350" s="4"/>
      <c r="O350" s="4"/>
      <c r="P350" s="4"/>
      <c r="Q350" s="4"/>
      <c r="R350" s="4"/>
      <c r="S350" s="4"/>
      <c r="T350" s="4"/>
      <c r="U350" s="4"/>
      <c r="V350" s="4"/>
      <c r="W350" s="4"/>
      <c r="X350" s="4"/>
      <c r="Y350" s="4"/>
      <c r="Z350" s="11"/>
    </row>
    <row r="351" spans="1:26" ht="19.5" customHeight="1" x14ac:dyDescent="0.3">
      <c r="A351" s="4"/>
      <c r="B351" s="4"/>
      <c r="C351" s="99">
        <v>94054090</v>
      </c>
      <c r="D351" s="99" t="s">
        <v>73</v>
      </c>
      <c r="E351" s="100">
        <v>77.95</v>
      </c>
      <c r="F351" s="4"/>
      <c r="G351" s="4"/>
      <c r="H351" s="4"/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4"/>
      <c r="U351" s="4"/>
      <c r="V351" s="4"/>
      <c r="W351" s="4"/>
      <c r="X351" s="4"/>
      <c r="Y351" s="4"/>
      <c r="Z351" s="11"/>
    </row>
    <row r="352" spans="1:26" ht="19.5" customHeight="1" x14ac:dyDescent="0.3">
      <c r="A352" s="4"/>
      <c r="B352" s="4"/>
      <c r="C352" s="99">
        <v>94054100</v>
      </c>
      <c r="D352" s="99" t="s">
        <v>73</v>
      </c>
      <c r="E352" s="100">
        <v>77.95</v>
      </c>
      <c r="F352" s="4"/>
      <c r="G352" s="4"/>
      <c r="H352" s="4"/>
      <c r="I352" s="4"/>
      <c r="J352" s="4"/>
      <c r="K352" s="4"/>
      <c r="L352" s="4"/>
      <c r="M352" s="4"/>
      <c r="N352" s="4"/>
      <c r="O352" s="4"/>
      <c r="P352" s="4"/>
      <c r="Q352" s="4"/>
      <c r="R352" s="4"/>
      <c r="S352" s="4"/>
      <c r="T352" s="4"/>
      <c r="U352" s="4"/>
      <c r="V352" s="4"/>
      <c r="W352" s="4"/>
      <c r="X352" s="4"/>
      <c r="Y352" s="4"/>
      <c r="Z352" s="11"/>
    </row>
    <row r="353" spans="1:26" ht="19.5" customHeight="1" x14ac:dyDescent="0.3">
      <c r="A353" s="4"/>
      <c r="B353" s="4"/>
      <c r="C353" s="99">
        <v>94054200</v>
      </c>
      <c r="D353" s="99" t="s">
        <v>73</v>
      </c>
      <c r="E353" s="100">
        <v>77.95</v>
      </c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11"/>
    </row>
    <row r="354" spans="1:26" ht="19.5" customHeight="1" x14ac:dyDescent="0.3">
      <c r="A354" s="4"/>
      <c r="B354" s="4"/>
      <c r="C354" s="99">
        <v>94054900</v>
      </c>
      <c r="D354" s="99" t="s">
        <v>73</v>
      </c>
      <c r="E354" s="100">
        <v>77.95</v>
      </c>
      <c r="F354" s="4"/>
      <c r="G354" s="4"/>
      <c r="H354" s="4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  <c r="Z354" s="11"/>
    </row>
    <row r="355" spans="1:26" ht="19.5" customHeight="1" x14ac:dyDescent="0.3">
      <c r="A355" s="4"/>
      <c r="B355" s="4"/>
      <c r="C355" s="99">
        <v>94055000</v>
      </c>
      <c r="D355" s="99" t="s">
        <v>73</v>
      </c>
      <c r="E355" s="100">
        <v>77.95</v>
      </c>
      <c r="F355" s="4"/>
      <c r="G355" s="4"/>
      <c r="H355" s="4"/>
      <c r="I355" s="4"/>
      <c r="J355" s="4"/>
      <c r="K355" s="4"/>
      <c r="L355" s="4"/>
      <c r="M355" s="4"/>
      <c r="N355" s="4"/>
      <c r="O355" s="4"/>
      <c r="P355" s="4"/>
      <c r="Q355" s="4"/>
      <c r="R355" s="4"/>
      <c r="S355" s="4"/>
      <c r="T355" s="4"/>
      <c r="U355" s="4"/>
      <c r="V355" s="4"/>
      <c r="W355" s="4"/>
      <c r="X355" s="4"/>
      <c r="Y355" s="4"/>
      <c r="Z355" s="11"/>
    </row>
    <row r="356" spans="1:26" ht="19.5" customHeight="1" x14ac:dyDescent="0.3">
      <c r="A356" s="4"/>
      <c r="B356" s="4"/>
      <c r="C356" s="99">
        <v>94056000</v>
      </c>
      <c r="D356" s="99" t="s">
        <v>73</v>
      </c>
      <c r="E356" s="100">
        <v>77.95</v>
      </c>
      <c r="F356" s="4"/>
      <c r="G356" s="4"/>
      <c r="H356" s="4"/>
      <c r="I356" s="4"/>
      <c r="J356" s="4"/>
      <c r="K356" s="4"/>
      <c r="L356" s="4"/>
      <c r="M356" s="4"/>
      <c r="N356" s="4"/>
      <c r="O356" s="4"/>
      <c r="P356" s="4"/>
      <c r="Q356" s="4"/>
      <c r="R356" s="4"/>
      <c r="S356" s="4"/>
      <c r="T356" s="4"/>
      <c r="U356" s="4"/>
      <c r="V356" s="4"/>
      <c r="W356" s="4"/>
      <c r="X356" s="4"/>
      <c r="Y356" s="4"/>
      <c r="Z356" s="11"/>
    </row>
    <row r="357" spans="1:26" ht="19.5" customHeight="1" x14ac:dyDescent="0.3">
      <c r="A357" s="4"/>
      <c r="B357" s="4"/>
      <c r="C357" s="99">
        <v>94056100</v>
      </c>
      <c r="D357" s="99" t="s">
        <v>73</v>
      </c>
      <c r="E357" s="100">
        <v>77.95</v>
      </c>
      <c r="F357" s="4"/>
      <c r="G357" s="4"/>
      <c r="H357" s="4"/>
      <c r="I357" s="4"/>
      <c r="J357" s="4"/>
      <c r="K357" s="4"/>
      <c r="L357" s="4"/>
      <c r="M357" s="4"/>
      <c r="N357" s="4"/>
      <c r="O357" s="4"/>
      <c r="P357" s="4"/>
      <c r="Q357" s="4"/>
      <c r="R357" s="4"/>
      <c r="S357" s="4"/>
      <c r="T357" s="4"/>
      <c r="U357" s="4"/>
      <c r="V357" s="4"/>
      <c r="W357" s="4"/>
      <c r="X357" s="4"/>
      <c r="Y357" s="4"/>
      <c r="Z357" s="11"/>
    </row>
    <row r="358" spans="1:26" ht="19.5" customHeight="1" x14ac:dyDescent="0.3">
      <c r="A358" s="4"/>
      <c r="B358" s="4"/>
      <c r="C358" s="99">
        <v>94059200</v>
      </c>
      <c r="D358" s="99" t="s">
        <v>73</v>
      </c>
      <c r="E358" s="100">
        <v>77.95</v>
      </c>
      <c r="F358" s="4"/>
      <c r="G358" s="4"/>
      <c r="H358" s="4"/>
      <c r="I358" s="4"/>
      <c r="J358" s="4"/>
      <c r="K358" s="4"/>
      <c r="L358" s="4"/>
      <c r="M358" s="4"/>
      <c r="N358" s="4"/>
      <c r="O358" s="4"/>
      <c r="P358" s="4"/>
      <c r="Q358" s="4"/>
      <c r="R358" s="4"/>
      <c r="S358" s="4"/>
      <c r="T358" s="4"/>
      <c r="U358" s="4"/>
      <c r="V358" s="4"/>
      <c r="W358" s="4"/>
      <c r="X358" s="4"/>
      <c r="Y358" s="4"/>
      <c r="Z358" s="11"/>
    </row>
    <row r="359" spans="1:26" ht="19.5" customHeight="1" x14ac:dyDescent="0.3">
      <c r="A359" s="4"/>
      <c r="B359" s="4"/>
      <c r="C359" s="99">
        <v>94059900</v>
      </c>
      <c r="D359" s="99" t="s">
        <v>73</v>
      </c>
      <c r="E359" s="100">
        <v>77.95</v>
      </c>
      <c r="F359" s="4"/>
      <c r="G359" s="4"/>
      <c r="H359" s="4"/>
      <c r="I359" s="4"/>
      <c r="J359" s="4"/>
      <c r="K359" s="4"/>
      <c r="L359" s="4"/>
      <c r="M359" s="4"/>
      <c r="N359" s="4"/>
      <c r="O359" s="4"/>
      <c r="P359" s="4"/>
      <c r="Q359" s="4"/>
      <c r="R359" s="4"/>
      <c r="S359" s="4"/>
      <c r="T359" s="4"/>
      <c r="U359" s="4"/>
      <c r="V359" s="4"/>
      <c r="W359" s="4"/>
      <c r="X359" s="4"/>
      <c r="Y359" s="4"/>
      <c r="Z359" s="11"/>
    </row>
    <row r="360" spans="1:26" ht="19.5" customHeight="1" x14ac:dyDescent="0.3">
      <c r="A360" s="4"/>
      <c r="B360" s="4"/>
      <c r="C360" s="99">
        <v>95051000</v>
      </c>
      <c r="D360" s="99" t="s">
        <v>73</v>
      </c>
      <c r="E360" s="100">
        <v>77.95</v>
      </c>
      <c r="F360" s="4"/>
      <c r="G360" s="4"/>
      <c r="H360" s="4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4"/>
      <c r="V360" s="4"/>
      <c r="W360" s="4"/>
      <c r="X360" s="4"/>
      <c r="Y360" s="4"/>
      <c r="Z360" s="11"/>
    </row>
    <row r="361" spans="1:26" ht="19.5" customHeight="1" x14ac:dyDescent="0.3">
      <c r="A361" s="4"/>
      <c r="B361" s="4"/>
      <c r="C361" s="99">
        <v>95840066</v>
      </c>
      <c r="D361" s="99" t="s">
        <v>73</v>
      </c>
      <c r="E361" s="100"/>
      <c r="F361" s="4"/>
      <c r="G361" s="4"/>
      <c r="H361" s="4"/>
      <c r="I361" s="4"/>
      <c r="J361" s="4"/>
      <c r="K361" s="4"/>
      <c r="L361" s="4"/>
      <c r="M361" s="4"/>
      <c r="N361" s="4"/>
      <c r="O361" s="4"/>
      <c r="P361" s="4"/>
      <c r="Q361" s="4"/>
      <c r="R361" s="4"/>
      <c r="S361" s="4"/>
      <c r="T361" s="4"/>
      <c r="U361" s="4"/>
      <c r="V361" s="4"/>
      <c r="W361" s="4"/>
      <c r="X361" s="4"/>
      <c r="Y361" s="4"/>
      <c r="Z361" s="11"/>
    </row>
    <row r="362" spans="1:26" ht="19.5" customHeight="1" x14ac:dyDescent="0.3">
      <c r="A362" s="4"/>
      <c r="B362" s="4"/>
      <c r="C362" s="99">
        <v>96022090</v>
      </c>
      <c r="D362" s="99" t="s">
        <v>73</v>
      </c>
      <c r="E362" s="100"/>
      <c r="F362" s="4"/>
      <c r="G362" s="4"/>
      <c r="H362" s="4"/>
      <c r="I362" s="4"/>
      <c r="J362" s="4"/>
      <c r="K362" s="4"/>
      <c r="L362" s="4"/>
      <c r="M362" s="4"/>
      <c r="N362" s="4"/>
      <c r="O362" s="4"/>
      <c r="P362" s="4"/>
      <c r="Q362" s="4"/>
      <c r="R362" s="4"/>
      <c r="S362" s="4"/>
      <c r="T362" s="4"/>
      <c r="U362" s="4"/>
      <c r="V362" s="4"/>
      <c r="W362" s="4"/>
      <c r="X362" s="4"/>
      <c r="Y362" s="4"/>
      <c r="Z362" s="11"/>
    </row>
    <row r="363" spans="1:26" ht="20.25" customHeight="1" x14ac:dyDescent="0.3">
      <c r="A363" s="4"/>
      <c r="B363" s="4"/>
      <c r="C363" s="99">
        <v>96034010</v>
      </c>
      <c r="D363" s="99" t="s">
        <v>73</v>
      </c>
      <c r="E363" s="100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11"/>
    </row>
    <row r="364" spans="1:26" ht="19.5" customHeight="1" x14ac:dyDescent="0.3">
      <c r="A364" s="4"/>
      <c r="B364" s="4"/>
      <c r="C364" s="99">
        <v>96034090</v>
      </c>
      <c r="D364" s="99" t="s">
        <v>73</v>
      </c>
      <c r="E364" s="100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11"/>
    </row>
    <row r="365" spans="1:26" ht="19.5" customHeight="1" x14ac:dyDescent="0.3">
      <c r="A365" s="4"/>
      <c r="B365" s="4"/>
      <c r="C365" s="99">
        <v>96081000</v>
      </c>
      <c r="D365" s="99" t="s">
        <v>73</v>
      </c>
      <c r="E365" s="100"/>
      <c r="F365" s="4"/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11"/>
    </row>
    <row r="366" spans="1:26" ht="19.5" customHeight="1" x14ac:dyDescent="0.3">
      <c r="A366" s="4"/>
      <c r="B366" s="4"/>
      <c r="C366" s="99">
        <v>96110000</v>
      </c>
      <c r="D366" s="99" t="s">
        <v>73</v>
      </c>
      <c r="E366" s="100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11"/>
    </row>
    <row r="367" spans="1:26" ht="19.5" customHeight="1" x14ac:dyDescent="0.3">
      <c r="A367" s="4"/>
      <c r="B367" s="4"/>
      <c r="C367" s="99">
        <v>96121090</v>
      </c>
      <c r="D367" s="99" t="s">
        <v>73</v>
      </c>
      <c r="E367" s="100">
        <v>41.18</v>
      </c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11"/>
    </row>
    <row r="368" spans="1:26" ht="15" customHeight="1" x14ac:dyDescent="0.3">
      <c r="A368" s="11"/>
      <c r="B368" s="11"/>
      <c r="C368" s="11"/>
      <c r="D368" s="11"/>
      <c r="E368" s="101"/>
      <c r="F368" s="11"/>
      <c r="G368" s="11"/>
      <c r="H368" s="11"/>
      <c r="I368" s="11"/>
      <c r="J368" s="11"/>
      <c r="K368" s="11"/>
      <c r="L368" s="11"/>
      <c r="M368" s="11"/>
      <c r="N368" s="11"/>
      <c r="O368" s="11"/>
      <c r="P368" s="11"/>
      <c r="Q368" s="11"/>
      <c r="R368" s="11"/>
      <c r="S368" s="11"/>
      <c r="T368" s="11"/>
      <c r="U368" s="11"/>
      <c r="V368" s="11"/>
      <c r="W368" s="11"/>
      <c r="X368" s="11"/>
      <c r="Y368" s="11"/>
      <c r="Z368" s="11"/>
    </row>
    <row r="369" spans="1:26" ht="15" customHeight="1" x14ac:dyDescent="0.3">
      <c r="A369" s="11"/>
      <c r="B369" s="11"/>
      <c r="C369" s="11"/>
      <c r="D369" s="11"/>
      <c r="E369" s="101"/>
      <c r="F369" s="11"/>
      <c r="G369" s="11"/>
      <c r="H369" s="11"/>
      <c r="I369" s="11"/>
      <c r="J369" s="11"/>
      <c r="K369" s="11"/>
      <c r="L369" s="11"/>
      <c r="M369" s="11"/>
      <c r="N369" s="11"/>
      <c r="O369" s="11"/>
      <c r="P369" s="11"/>
      <c r="Q369" s="11"/>
      <c r="R369" s="11"/>
      <c r="S369" s="11"/>
      <c r="T369" s="11"/>
      <c r="U369" s="11"/>
      <c r="V369" s="11"/>
      <c r="W369" s="11"/>
      <c r="X369" s="11"/>
      <c r="Y369" s="11"/>
      <c r="Z369" s="11"/>
    </row>
    <row r="370" spans="1:26" ht="15" customHeight="1" x14ac:dyDescent="0.3">
      <c r="A370" s="11"/>
      <c r="B370" s="11"/>
      <c r="C370" s="11"/>
      <c r="D370" s="11"/>
      <c r="E370" s="101"/>
      <c r="F370" s="11"/>
      <c r="G370" s="11"/>
      <c r="H370" s="11"/>
      <c r="I370" s="11"/>
      <c r="J370" s="11"/>
      <c r="K370" s="11"/>
      <c r="L370" s="11"/>
      <c r="M370" s="11"/>
      <c r="N370" s="11"/>
      <c r="O370" s="11"/>
      <c r="P370" s="11"/>
      <c r="Q370" s="11"/>
      <c r="R370" s="11"/>
      <c r="S370" s="11"/>
      <c r="T370" s="11"/>
      <c r="U370" s="11"/>
      <c r="V370" s="11"/>
      <c r="W370" s="11"/>
      <c r="X370" s="11"/>
      <c r="Y370" s="11"/>
      <c r="Z370" s="11"/>
    </row>
    <row r="371" spans="1:26" ht="15" customHeight="1" x14ac:dyDescent="0.3">
      <c r="A371" s="11"/>
      <c r="B371" s="11"/>
      <c r="C371" s="11"/>
      <c r="D371" s="11"/>
      <c r="E371" s="101"/>
      <c r="F371" s="11"/>
      <c r="G371" s="11"/>
      <c r="H371" s="11"/>
      <c r="I371" s="11"/>
      <c r="J371" s="11"/>
      <c r="K371" s="11"/>
      <c r="L371" s="11"/>
      <c r="M371" s="11"/>
      <c r="N371" s="11"/>
      <c r="O371" s="11"/>
      <c r="P371" s="11"/>
      <c r="Q371" s="11"/>
      <c r="R371" s="11"/>
      <c r="S371" s="11"/>
      <c r="T371" s="11"/>
      <c r="U371" s="11"/>
      <c r="V371" s="11"/>
      <c r="W371" s="11"/>
      <c r="X371" s="11"/>
      <c r="Y371" s="11"/>
      <c r="Z371" s="11"/>
    </row>
    <row r="372" spans="1:26" ht="15" customHeight="1" x14ac:dyDescent="0.3">
      <c r="A372" s="11"/>
      <c r="B372" s="11"/>
      <c r="C372" s="11"/>
      <c r="D372" s="11"/>
      <c r="E372" s="101"/>
      <c r="F372" s="11"/>
      <c r="G372" s="11"/>
      <c r="H372" s="11"/>
      <c r="I372" s="11"/>
      <c r="J372" s="11"/>
      <c r="K372" s="11"/>
      <c r="L372" s="11"/>
      <c r="M372" s="11"/>
      <c r="N372" s="11"/>
      <c r="O372" s="11"/>
      <c r="P372" s="11"/>
      <c r="Q372" s="11"/>
      <c r="R372" s="11"/>
      <c r="S372" s="11"/>
      <c r="T372" s="11"/>
      <c r="U372" s="11"/>
      <c r="V372" s="11"/>
      <c r="W372" s="11"/>
      <c r="X372" s="11"/>
      <c r="Y372" s="11"/>
      <c r="Z372" s="11"/>
    </row>
    <row r="373" spans="1:26" ht="15" customHeight="1" x14ac:dyDescent="0.3">
      <c r="A373" s="11"/>
      <c r="B373" s="11"/>
      <c r="C373" s="11"/>
      <c r="D373" s="11"/>
      <c r="E373" s="101"/>
      <c r="F373" s="11"/>
      <c r="G373" s="11"/>
      <c r="H373" s="11"/>
      <c r="I373" s="11"/>
      <c r="J373" s="11"/>
      <c r="K373" s="11"/>
      <c r="L373" s="11"/>
      <c r="M373" s="11"/>
      <c r="N373" s="11"/>
      <c r="O373" s="11"/>
      <c r="P373" s="11"/>
      <c r="Q373" s="11"/>
      <c r="R373" s="11"/>
      <c r="S373" s="11"/>
      <c r="T373" s="11"/>
      <c r="U373" s="11"/>
      <c r="V373" s="11"/>
      <c r="W373" s="11"/>
      <c r="X373" s="11"/>
      <c r="Y373" s="11"/>
      <c r="Z373" s="11"/>
    </row>
    <row r="374" spans="1:26" ht="15" customHeight="1" x14ac:dyDescent="0.3">
      <c r="A374" s="11"/>
      <c r="B374" s="11"/>
      <c r="C374" s="11"/>
      <c r="D374" s="11"/>
      <c r="E374" s="101"/>
      <c r="F374" s="11"/>
      <c r="G374" s="11"/>
      <c r="H374" s="11"/>
      <c r="I374" s="11"/>
      <c r="J374" s="11"/>
      <c r="K374" s="11"/>
      <c r="L374" s="11"/>
      <c r="M374" s="11"/>
      <c r="N374" s="11"/>
      <c r="O374" s="11"/>
      <c r="P374" s="11"/>
      <c r="Q374" s="11"/>
      <c r="R374" s="11"/>
      <c r="S374" s="11"/>
      <c r="T374" s="11"/>
      <c r="U374" s="11"/>
      <c r="V374" s="11"/>
      <c r="W374" s="11"/>
      <c r="X374" s="11"/>
      <c r="Y374" s="11"/>
      <c r="Z374" s="11"/>
    </row>
    <row r="375" spans="1:26" ht="15" customHeight="1" x14ac:dyDescent="0.3">
      <c r="A375" s="11"/>
      <c r="B375" s="11"/>
      <c r="C375" s="11"/>
      <c r="D375" s="11"/>
      <c r="E375" s="101"/>
      <c r="F375" s="11"/>
      <c r="G375" s="11"/>
      <c r="H375" s="11"/>
      <c r="I375" s="11"/>
      <c r="J375" s="11"/>
      <c r="K375" s="11"/>
      <c r="L375" s="11"/>
      <c r="M375" s="11"/>
      <c r="N375" s="11"/>
      <c r="O375" s="11"/>
      <c r="P375" s="11"/>
      <c r="Q375" s="11"/>
      <c r="R375" s="11"/>
      <c r="S375" s="11"/>
      <c r="T375" s="11"/>
      <c r="U375" s="11"/>
      <c r="V375" s="11"/>
      <c r="W375" s="11"/>
      <c r="X375" s="11"/>
      <c r="Y375" s="11"/>
      <c r="Z375" s="11"/>
    </row>
    <row r="376" spans="1:26" ht="15" customHeight="1" x14ac:dyDescent="0.3">
      <c r="A376" s="11"/>
      <c r="B376" s="11"/>
      <c r="C376" s="11"/>
      <c r="D376" s="11"/>
      <c r="E376" s="101"/>
      <c r="F376" s="11"/>
      <c r="G376" s="11"/>
      <c r="H376" s="11"/>
      <c r="I376" s="11"/>
      <c r="J376" s="11"/>
      <c r="K376" s="11"/>
      <c r="L376" s="11"/>
      <c r="M376" s="11"/>
      <c r="N376" s="11"/>
      <c r="O376" s="11"/>
      <c r="P376" s="11"/>
      <c r="Q376" s="11"/>
      <c r="R376" s="11"/>
      <c r="S376" s="11"/>
      <c r="T376" s="11"/>
      <c r="U376" s="11"/>
      <c r="V376" s="11"/>
      <c r="W376" s="11"/>
      <c r="X376" s="11"/>
      <c r="Y376" s="11"/>
      <c r="Z376" s="11"/>
    </row>
    <row r="377" spans="1:26" ht="15" customHeight="1" x14ac:dyDescent="0.3">
      <c r="A377" s="11"/>
      <c r="B377" s="11"/>
      <c r="C377" s="11"/>
      <c r="D377" s="11"/>
      <c r="E377" s="101"/>
      <c r="F377" s="11"/>
      <c r="G377" s="11"/>
      <c r="H377" s="11"/>
      <c r="I377" s="11"/>
      <c r="J377" s="11"/>
      <c r="K377" s="11"/>
      <c r="L377" s="11"/>
      <c r="M377" s="11"/>
      <c r="N377" s="11"/>
      <c r="O377" s="11"/>
      <c r="P377" s="11"/>
      <c r="Q377" s="11"/>
      <c r="R377" s="11"/>
      <c r="S377" s="11"/>
      <c r="T377" s="11"/>
      <c r="U377" s="11"/>
      <c r="V377" s="11"/>
      <c r="W377" s="11"/>
      <c r="X377" s="11"/>
      <c r="Y377" s="11"/>
      <c r="Z377" s="11"/>
    </row>
    <row r="378" spans="1:26" ht="15" customHeight="1" x14ac:dyDescent="0.3">
      <c r="A378" s="11"/>
      <c r="B378" s="11"/>
      <c r="C378" s="11"/>
      <c r="D378" s="11"/>
      <c r="E378" s="101"/>
      <c r="F378" s="11"/>
      <c r="G378" s="11"/>
      <c r="H378" s="11"/>
      <c r="I378" s="11"/>
      <c r="J378" s="11"/>
      <c r="K378" s="11"/>
      <c r="L378" s="11"/>
      <c r="M378" s="11"/>
      <c r="N378" s="11"/>
      <c r="O378" s="11"/>
      <c r="P378" s="11"/>
      <c r="Q378" s="11"/>
      <c r="R378" s="11"/>
      <c r="S378" s="11"/>
      <c r="T378" s="11"/>
      <c r="U378" s="11"/>
      <c r="V378" s="11"/>
      <c r="W378" s="11"/>
      <c r="X378" s="11"/>
      <c r="Y378" s="11"/>
      <c r="Z378" s="11"/>
    </row>
    <row r="379" spans="1:26" ht="15" customHeight="1" x14ac:dyDescent="0.3">
      <c r="A379" s="11"/>
      <c r="B379" s="11"/>
      <c r="C379" s="11"/>
      <c r="D379" s="11"/>
      <c r="E379" s="101"/>
      <c r="F379" s="11"/>
      <c r="G379" s="11"/>
      <c r="H379" s="11"/>
      <c r="I379" s="11"/>
      <c r="J379" s="11"/>
      <c r="K379" s="11"/>
      <c r="L379" s="11"/>
      <c r="M379" s="11"/>
      <c r="N379" s="11"/>
      <c r="O379" s="11"/>
      <c r="P379" s="11"/>
      <c r="Q379" s="11"/>
      <c r="R379" s="11"/>
      <c r="S379" s="11"/>
      <c r="T379" s="11"/>
      <c r="U379" s="11"/>
      <c r="V379" s="11"/>
      <c r="W379" s="11"/>
      <c r="X379" s="11"/>
      <c r="Y379" s="11"/>
      <c r="Z379" s="11"/>
    </row>
    <row r="380" spans="1:26" ht="15" customHeight="1" x14ac:dyDescent="0.3">
      <c r="A380" s="11"/>
      <c r="B380" s="11"/>
      <c r="C380" s="11"/>
      <c r="D380" s="11"/>
      <c r="E380" s="101"/>
      <c r="F380" s="11"/>
      <c r="G380" s="11"/>
      <c r="H380" s="11"/>
      <c r="I380" s="11"/>
      <c r="J380" s="11"/>
      <c r="K380" s="11"/>
      <c r="L380" s="11"/>
      <c r="M380" s="11"/>
      <c r="N380" s="11"/>
      <c r="O380" s="11"/>
      <c r="P380" s="11"/>
      <c r="Q380" s="11"/>
      <c r="R380" s="11"/>
      <c r="S380" s="11"/>
      <c r="T380" s="11"/>
      <c r="U380" s="11"/>
      <c r="V380" s="11"/>
      <c r="W380" s="11"/>
      <c r="X380" s="11"/>
      <c r="Y380" s="11"/>
      <c r="Z380" s="11"/>
    </row>
    <row r="381" spans="1:26" ht="15" customHeight="1" x14ac:dyDescent="0.3">
      <c r="A381" s="11"/>
      <c r="B381" s="11"/>
      <c r="C381" s="11"/>
      <c r="D381" s="11"/>
      <c r="E381" s="101"/>
      <c r="F381" s="11"/>
      <c r="G381" s="11"/>
      <c r="H381" s="11"/>
      <c r="I381" s="11"/>
      <c r="J381" s="11"/>
      <c r="K381" s="11"/>
      <c r="L381" s="11"/>
      <c r="M381" s="11"/>
      <c r="N381" s="11"/>
      <c r="O381" s="11"/>
      <c r="P381" s="11"/>
      <c r="Q381" s="11"/>
      <c r="R381" s="11"/>
      <c r="S381" s="11"/>
      <c r="T381" s="11"/>
      <c r="U381" s="11"/>
      <c r="V381" s="11"/>
      <c r="W381" s="11"/>
      <c r="X381" s="11"/>
      <c r="Y381" s="11"/>
      <c r="Z381" s="11"/>
    </row>
    <row r="382" spans="1:26" ht="15" customHeight="1" x14ac:dyDescent="0.3">
      <c r="A382" s="11"/>
      <c r="B382" s="11"/>
      <c r="C382" s="11"/>
      <c r="D382" s="11"/>
      <c r="E382" s="101"/>
      <c r="F382" s="11"/>
      <c r="G382" s="11"/>
      <c r="H382" s="11"/>
      <c r="I382" s="11"/>
      <c r="J382" s="11"/>
      <c r="K382" s="11"/>
      <c r="L382" s="11"/>
      <c r="M382" s="11"/>
      <c r="N382" s="11"/>
      <c r="O382" s="11"/>
      <c r="P382" s="11"/>
      <c r="Q382" s="11"/>
      <c r="R382" s="11"/>
      <c r="S382" s="11"/>
      <c r="T382" s="11"/>
      <c r="U382" s="11"/>
      <c r="V382" s="11"/>
      <c r="W382" s="11"/>
      <c r="X382" s="11"/>
      <c r="Y382" s="11"/>
      <c r="Z382" s="11"/>
    </row>
    <row r="383" spans="1:26" ht="15" customHeight="1" x14ac:dyDescent="0.3">
      <c r="A383" s="11"/>
      <c r="B383" s="11"/>
      <c r="C383" s="11"/>
      <c r="D383" s="11"/>
      <c r="E383" s="101"/>
      <c r="F383" s="11"/>
      <c r="G383" s="11"/>
      <c r="H383" s="11"/>
      <c r="I383" s="11"/>
      <c r="J383" s="11"/>
      <c r="K383" s="11"/>
      <c r="L383" s="11"/>
      <c r="M383" s="11"/>
      <c r="N383" s="11"/>
      <c r="O383" s="11"/>
      <c r="P383" s="11"/>
      <c r="Q383" s="11"/>
      <c r="R383" s="11"/>
      <c r="S383" s="11"/>
      <c r="T383" s="11"/>
      <c r="U383" s="11"/>
      <c r="V383" s="11"/>
      <c r="W383" s="11"/>
      <c r="X383" s="11"/>
      <c r="Y383" s="11"/>
      <c r="Z383" s="11"/>
    </row>
    <row r="384" spans="1:26" ht="15" customHeight="1" x14ac:dyDescent="0.3">
      <c r="A384" s="11"/>
      <c r="B384" s="11"/>
      <c r="C384" s="11"/>
      <c r="D384" s="11"/>
      <c r="E384" s="101"/>
      <c r="F384" s="11"/>
      <c r="G384" s="11"/>
      <c r="H384" s="11"/>
      <c r="I384" s="11"/>
      <c r="J384" s="11"/>
      <c r="K384" s="11"/>
      <c r="L384" s="11"/>
      <c r="M384" s="11"/>
      <c r="N384" s="11"/>
      <c r="O384" s="11"/>
      <c r="P384" s="11"/>
      <c r="Q384" s="11"/>
      <c r="R384" s="11"/>
      <c r="S384" s="11"/>
      <c r="T384" s="11"/>
      <c r="U384" s="11"/>
      <c r="V384" s="11"/>
      <c r="W384" s="11"/>
      <c r="X384" s="11"/>
      <c r="Y384" s="11"/>
      <c r="Z384" s="11"/>
    </row>
    <row r="385" spans="1:26" ht="15" customHeight="1" x14ac:dyDescent="0.3">
      <c r="A385" s="11"/>
      <c r="B385" s="11"/>
      <c r="C385" s="11"/>
      <c r="D385" s="11"/>
      <c r="E385" s="101"/>
      <c r="F385" s="11"/>
      <c r="G385" s="11"/>
      <c r="H385" s="11"/>
      <c r="I385" s="11"/>
      <c r="J385" s="11"/>
      <c r="K385" s="11"/>
      <c r="L385" s="11"/>
      <c r="M385" s="11"/>
      <c r="N385" s="11"/>
      <c r="O385" s="11"/>
      <c r="P385" s="11"/>
      <c r="Q385" s="11"/>
      <c r="R385" s="11"/>
      <c r="S385" s="11"/>
      <c r="T385" s="11"/>
      <c r="U385" s="11"/>
      <c r="V385" s="11"/>
      <c r="W385" s="11"/>
      <c r="X385" s="11"/>
      <c r="Y385" s="11"/>
      <c r="Z385" s="11"/>
    </row>
    <row r="386" spans="1:26" ht="15" customHeight="1" x14ac:dyDescent="0.3">
      <c r="A386" s="11"/>
      <c r="B386" s="11"/>
      <c r="C386" s="11"/>
      <c r="D386" s="11"/>
      <c r="E386" s="101"/>
      <c r="F386" s="11"/>
      <c r="G386" s="11"/>
      <c r="H386" s="11"/>
      <c r="I386" s="11"/>
      <c r="J386" s="11"/>
      <c r="K386" s="11"/>
      <c r="L386" s="11"/>
      <c r="M386" s="11"/>
      <c r="N386" s="11"/>
      <c r="O386" s="11"/>
      <c r="P386" s="11"/>
      <c r="Q386" s="11"/>
      <c r="R386" s="11"/>
      <c r="S386" s="11"/>
      <c r="T386" s="11"/>
      <c r="U386" s="11"/>
      <c r="V386" s="11"/>
      <c r="W386" s="11"/>
      <c r="X386" s="11"/>
      <c r="Y386" s="11"/>
      <c r="Z386" s="11"/>
    </row>
    <row r="387" spans="1:26" ht="15" customHeight="1" x14ac:dyDescent="0.3">
      <c r="A387" s="11"/>
      <c r="B387" s="11"/>
      <c r="C387" s="11"/>
      <c r="D387" s="11"/>
      <c r="E387" s="101"/>
      <c r="F387" s="11"/>
      <c r="G387" s="11"/>
      <c r="H387" s="11"/>
      <c r="I387" s="11"/>
      <c r="J387" s="11"/>
      <c r="K387" s="11"/>
      <c r="L387" s="11"/>
      <c r="M387" s="11"/>
      <c r="N387" s="11"/>
      <c r="O387" s="11"/>
      <c r="P387" s="11"/>
      <c r="Q387" s="11"/>
      <c r="R387" s="11"/>
      <c r="S387" s="11"/>
      <c r="T387" s="11"/>
      <c r="U387" s="11"/>
      <c r="V387" s="11"/>
      <c r="W387" s="11"/>
      <c r="X387" s="11"/>
      <c r="Y387" s="11"/>
      <c r="Z387" s="11"/>
    </row>
    <row r="388" spans="1:26" ht="15" customHeight="1" x14ac:dyDescent="0.3">
      <c r="A388" s="11"/>
      <c r="B388" s="11"/>
      <c r="C388" s="11"/>
      <c r="D388" s="11"/>
      <c r="E388" s="101"/>
      <c r="F388" s="11"/>
      <c r="G388" s="11"/>
      <c r="H388" s="11"/>
      <c r="I388" s="11"/>
      <c r="J388" s="11"/>
      <c r="K388" s="11"/>
      <c r="L388" s="11"/>
      <c r="M388" s="11"/>
      <c r="N388" s="11"/>
      <c r="O388" s="11"/>
      <c r="P388" s="11"/>
      <c r="Q388" s="11"/>
      <c r="R388" s="11"/>
      <c r="S388" s="11"/>
      <c r="T388" s="11"/>
      <c r="U388" s="11"/>
      <c r="V388" s="11"/>
      <c r="W388" s="11"/>
      <c r="X388" s="11"/>
      <c r="Y388" s="11"/>
      <c r="Z388" s="11"/>
    </row>
    <row r="389" spans="1:26" ht="15" customHeight="1" x14ac:dyDescent="0.3">
      <c r="A389" s="11"/>
      <c r="B389" s="11"/>
      <c r="C389" s="11"/>
      <c r="D389" s="11"/>
      <c r="E389" s="101"/>
      <c r="F389" s="11"/>
      <c r="G389" s="11"/>
      <c r="H389" s="11"/>
      <c r="I389" s="11"/>
      <c r="J389" s="11"/>
      <c r="K389" s="11"/>
      <c r="L389" s="11"/>
      <c r="M389" s="11"/>
      <c r="N389" s="11"/>
      <c r="O389" s="11"/>
      <c r="P389" s="11"/>
      <c r="Q389" s="11"/>
      <c r="R389" s="11"/>
      <c r="S389" s="11"/>
      <c r="T389" s="11"/>
      <c r="U389" s="11"/>
      <c r="V389" s="11"/>
      <c r="W389" s="11"/>
      <c r="X389" s="11"/>
      <c r="Y389" s="11"/>
      <c r="Z389" s="11"/>
    </row>
    <row r="390" spans="1:26" ht="15" customHeight="1" x14ac:dyDescent="0.3">
      <c r="A390" s="11"/>
      <c r="B390" s="11"/>
      <c r="C390" s="11"/>
      <c r="D390" s="11"/>
      <c r="E390" s="101"/>
      <c r="F390" s="11"/>
      <c r="G390" s="11"/>
      <c r="H390" s="11"/>
      <c r="I390" s="11"/>
      <c r="J390" s="11"/>
      <c r="K390" s="11"/>
      <c r="L390" s="11"/>
      <c r="M390" s="11"/>
      <c r="N390" s="11"/>
      <c r="O390" s="11"/>
      <c r="P390" s="11"/>
      <c r="Q390" s="11"/>
      <c r="R390" s="11"/>
      <c r="S390" s="11"/>
      <c r="T390" s="11"/>
      <c r="U390" s="11"/>
      <c r="V390" s="11"/>
      <c r="W390" s="11"/>
      <c r="X390" s="11"/>
      <c r="Y390" s="11"/>
      <c r="Z390" s="11"/>
    </row>
    <row r="391" spans="1:26" ht="15" customHeight="1" x14ac:dyDescent="0.3">
      <c r="A391" s="11"/>
      <c r="B391" s="11"/>
      <c r="C391" s="11"/>
      <c r="D391" s="11"/>
      <c r="E391" s="101"/>
      <c r="F391" s="11"/>
      <c r="G391" s="11"/>
      <c r="H391" s="11"/>
      <c r="I391" s="11"/>
      <c r="J391" s="11"/>
      <c r="K391" s="11"/>
      <c r="L391" s="11"/>
      <c r="M391" s="11"/>
      <c r="N391" s="11"/>
      <c r="O391" s="11"/>
      <c r="P391" s="11"/>
      <c r="Q391" s="11"/>
      <c r="R391" s="11"/>
      <c r="S391" s="11"/>
      <c r="T391" s="11"/>
      <c r="U391" s="11"/>
      <c r="V391" s="11"/>
      <c r="W391" s="11"/>
      <c r="X391" s="11"/>
      <c r="Y391" s="11"/>
      <c r="Z391" s="11"/>
    </row>
    <row r="392" spans="1:26" ht="15" customHeight="1" x14ac:dyDescent="0.3">
      <c r="A392" s="11"/>
      <c r="B392" s="11"/>
      <c r="C392" s="11"/>
      <c r="D392" s="11"/>
      <c r="E392" s="101"/>
      <c r="F392" s="11"/>
      <c r="G392" s="11"/>
      <c r="H392" s="11"/>
      <c r="I392" s="11"/>
      <c r="J392" s="11"/>
      <c r="K392" s="11"/>
      <c r="L392" s="11"/>
      <c r="M392" s="11"/>
      <c r="N392" s="11"/>
      <c r="O392" s="11"/>
      <c r="P392" s="11"/>
      <c r="Q392" s="11"/>
      <c r="R392" s="11"/>
      <c r="S392" s="11"/>
      <c r="T392" s="11"/>
      <c r="U392" s="11"/>
      <c r="V392" s="11"/>
      <c r="W392" s="11"/>
      <c r="X392" s="11"/>
      <c r="Y392" s="11"/>
      <c r="Z392" s="11"/>
    </row>
    <row r="393" spans="1:26" ht="15" customHeight="1" x14ac:dyDescent="0.3">
      <c r="A393" s="11"/>
      <c r="B393" s="11"/>
      <c r="C393" s="11"/>
      <c r="D393" s="11"/>
      <c r="E393" s="101"/>
      <c r="F393" s="11"/>
      <c r="G393" s="11"/>
      <c r="H393" s="11"/>
      <c r="I393" s="11"/>
      <c r="J393" s="11"/>
      <c r="K393" s="11"/>
      <c r="L393" s="11"/>
      <c r="M393" s="11"/>
      <c r="N393" s="11"/>
      <c r="O393" s="11"/>
      <c r="P393" s="11"/>
      <c r="Q393" s="11"/>
      <c r="R393" s="11"/>
      <c r="S393" s="11"/>
      <c r="T393" s="11"/>
      <c r="U393" s="11"/>
      <c r="V393" s="11"/>
      <c r="W393" s="11"/>
      <c r="X393" s="11"/>
      <c r="Y393" s="11"/>
      <c r="Z393" s="11"/>
    </row>
    <row r="394" spans="1:26" ht="15" customHeight="1" x14ac:dyDescent="0.3">
      <c r="A394" s="11"/>
      <c r="B394" s="11"/>
      <c r="C394" s="11"/>
      <c r="D394" s="11"/>
      <c r="E394" s="101"/>
      <c r="F394" s="11"/>
      <c r="G394" s="11"/>
      <c r="H394" s="11"/>
      <c r="I394" s="11"/>
      <c r="J394" s="11"/>
      <c r="K394" s="11"/>
      <c r="L394" s="11"/>
      <c r="M394" s="11"/>
      <c r="N394" s="11"/>
      <c r="O394" s="11"/>
      <c r="P394" s="11"/>
      <c r="Q394" s="11"/>
      <c r="R394" s="11"/>
      <c r="S394" s="11"/>
      <c r="T394" s="11"/>
      <c r="U394" s="11"/>
      <c r="V394" s="11"/>
      <c r="W394" s="11"/>
      <c r="X394" s="11"/>
      <c r="Y394" s="11"/>
      <c r="Z394" s="11"/>
    </row>
    <row r="395" spans="1:26" ht="15" customHeight="1" x14ac:dyDescent="0.3">
      <c r="A395" s="11"/>
      <c r="B395" s="11"/>
      <c r="C395" s="11"/>
      <c r="D395" s="11"/>
      <c r="E395" s="101"/>
      <c r="F395" s="11"/>
      <c r="G395" s="11"/>
      <c r="H395" s="11"/>
      <c r="I395" s="11"/>
      <c r="J395" s="11"/>
      <c r="K395" s="11"/>
      <c r="L395" s="11"/>
      <c r="M395" s="11"/>
      <c r="N395" s="11"/>
      <c r="O395" s="11"/>
      <c r="P395" s="11"/>
      <c r="Q395" s="11"/>
      <c r="R395" s="11"/>
      <c r="S395" s="11"/>
      <c r="T395" s="11"/>
      <c r="U395" s="11"/>
      <c r="V395" s="11"/>
      <c r="W395" s="11"/>
      <c r="X395" s="11"/>
      <c r="Y395" s="11"/>
      <c r="Z395" s="11"/>
    </row>
    <row r="396" spans="1:26" ht="15" customHeight="1" x14ac:dyDescent="0.3">
      <c r="A396" s="11"/>
      <c r="B396" s="11"/>
      <c r="C396" s="11"/>
      <c r="D396" s="11"/>
      <c r="E396" s="101"/>
      <c r="F396" s="11"/>
      <c r="G396" s="11"/>
      <c r="H396" s="11"/>
      <c r="I396" s="11"/>
      <c r="J396" s="11"/>
      <c r="K396" s="11"/>
      <c r="L396" s="11"/>
      <c r="M396" s="11"/>
      <c r="N396" s="11"/>
      <c r="O396" s="11"/>
      <c r="P396" s="11"/>
      <c r="Q396" s="11"/>
      <c r="R396" s="11"/>
      <c r="S396" s="11"/>
      <c r="T396" s="11"/>
      <c r="U396" s="11"/>
      <c r="V396" s="11"/>
      <c r="W396" s="11"/>
      <c r="X396" s="11"/>
      <c r="Y396" s="11"/>
      <c r="Z396" s="11"/>
    </row>
    <row r="397" spans="1:26" ht="15" customHeight="1" x14ac:dyDescent="0.3">
      <c r="A397" s="11"/>
      <c r="B397" s="11"/>
      <c r="C397" s="11"/>
      <c r="D397" s="11"/>
      <c r="E397" s="101"/>
      <c r="F397" s="11"/>
      <c r="G397" s="11"/>
      <c r="H397" s="11"/>
      <c r="I397" s="11"/>
      <c r="J397" s="11"/>
      <c r="K397" s="11"/>
      <c r="L397" s="11"/>
      <c r="M397" s="11"/>
      <c r="N397" s="11"/>
      <c r="O397" s="11"/>
      <c r="P397" s="11"/>
      <c r="Q397" s="11"/>
      <c r="R397" s="11"/>
      <c r="S397" s="11"/>
      <c r="T397" s="11"/>
      <c r="U397" s="11"/>
      <c r="V397" s="11"/>
      <c r="W397" s="11"/>
      <c r="X397" s="11"/>
      <c r="Y397" s="11"/>
      <c r="Z397" s="11"/>
    </row>
    <row r="398" spans="1:26" ht="15" customHeight="1" x14ac:dyDescent="0.3">
      <c r="A398" s="11"/>
      <c r="B398" s="11"/>
      <c r="C398" s="11"/>
      <c r="D398" s="11"/>
      <c r="E398" s="101"/>
      <c r="F398" s="11"/>
      <c r="G398" s="11"/>
      <c r="H398" s="11"/>
      <c r="I398" s="11"/>
      <c r="J398" s="11"/>
      <c r="K398" s="11"/>
      <c r="L398" s="11"/>
      <c r="M398" s="11"/>
      <c r="N398" s="11"/>
      <c r="O398" s="11"/>
      <c r="P398" s="11"/>
      <c r="Q398" s="11"/>
      <c r="R398" s="11"/>
      <c r="S398" s="11"/>
      <c r="T398" s="11"/>
      <c r="U398" s="11"/>
      <c r="V398" s="11"/>
      <c r="W398" s="11"/>
      <c r="X398" s="11"/>
      <c r="Y398" s="11"/>
      <c r="Z398" s="11"/>
    </row>
  </sheetData>
  <autoFilter ref="C10:E10" xr:uid="{0C773D84-657A-4071-BF73-44575B6F6628}">
    <sortState xmlns:xlrd2="http://schemas.microsoft.com/office/spreadsheetml/2017/richdata2" ref="C11:E367">
      <sortCondition ref="C10"/>
    </sortState>
  </autoFilter>
  <mergeCells count="5">
    <mergeCell ref="A8:F8"/>
    <mergeCell ref="E3:F3"/>
    <mergeCell ref="E4:F4"/>
    <mergeCell ref="A6:F6"/>
    <mergeCell ref="A7:F7"/>
  </mergeCells>
  <phoneticPr fontId="4" type="noConversion"/>
  <printOptions horizontalCentered="1" verticalCentered="1"/>
  <pageMargins left="0.59055118110236227" right="0.59055118110236227" top="0.59055118110236227" bottom="0.59055118110236227" header="0" footer="0"/>
  <pageSetup paperSize="9" scale="60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CPV</vt:lpstr>
      <vt:lpstr>CALCULADORA MANUAL (SIMULAÇÕES)</vt:lpstr>
      <vt:lpstr>NCM+MVA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Belo Tom</dc:creator>
  <cp:lastModifiedBy>Suporte</cp:lastModifiedBy>
  <dcterms:created xsi:type="dcterms:W3CDTF">2014-10-22T18:11:00Z</dcterms:created>
  <dcterms:modified xsi:type="dcterms:W3CDTF">2025-05-27T16:05:47Z</dcterms:modified>
</cp:coreProperties>
</file>